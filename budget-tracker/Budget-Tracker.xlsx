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Dashboard" state="visible" r:id="rId4"/>
    <sheet sheetId="2" name="Transaktionen" state="visible" r:id="rId5"/>
    <sheet sheetId="3" name="Kategorien" state="visible" r:id="rId6"/>
    <sheet sheetId="4" name="Budgets" state="visible" r:id="rId7"/>
    <sheet sheetId="5" name="Konten" state="visible" r:id="rId8"/>
    <sheet sheetId="6" name="Anleitung" state="visible" r:id="rId9"/>
  </sheets>
  <calcPr calcId="171027"/>
</workbook>
</file>

<file path=xl/sharedStrings.xml><?xml version="1.0" encoding="utf-8"?>
<sst xmlns="http://schemas.openxmlformats.org/spreadsheetml/2006/main" count="206" uniqueCount="127">
  <si>
    <t>BUDGET TRACKER - DASHBOARD</t>
  </si>
  <si>
    <t>Deine Finanzen im Überblick</t>
  </si>
  <si>
    <t>GESAMTGUTHABEN</t>
  </si>
  <si>
    <t>EINNAHMEN (MONAT)</t>
  </si>
  <si>
    <t>AUSGABEN (MONAT)</t>
  </si>
  <si>
    <t>BILANZ (MONAT)</t>
  </si>
  <si>
    <t>MONATSÜBERSICHT</t>
  </si>
  <si>
    <t>Monat</t>
  </si>
  <si>
    <t>Einnahmen</t>
  </si>
  <si>
    <t>Ausgaben</t>
  </si>
  <si>
    <t>Bilanz</t>
  </si>
  <si>
    <t>Sparquote</t>
  </si>
  <si>
    <t>Januar</t>
  </si>
  <si>
    <t>Februar</t>
  </si>
  <si>
    <t>März</t>
  </si>
  <si>
    <t>April</t>
  </si>
  <si>
    <t>Mai</t>
  </si>
  <si>
    <t>Juni</t>
  </si>
  <si>
    <t>Juli</t>
  </si>
  <si>
    <t>August</t>
  </si>
  <si>
    <t>September</t>
  </si>
  <si>
    <t>Oktober</t>
  </si>
  <si>
    <t>November</t>
  </si>
  <si>
    <t>Dezember</t>
  </si>
  <si>
    <t>GESAMT</t>
  </si>
  <si>
    <t>BUDGET STATUS (AKTUELLER MONAT)</t>
  </si>
  <si>
    <t>Kategorie</t>
  </si>
  <si>
    <t>Budget</t>
  </si>
  <si>
    <t>Ausgegeben</t>
  </si>
  <si>
    <t>Verbleibend</t>
  </si>
  <si>
    <t>Auslastung</t>
  </si>
  <si>
    <t>TRANSAKTIONEN</t>
  </si>
  <si>
    <t>Beschreibung</t>
  </si>
  <si>
    <t>Datum</t>
  </si>
  <si>
    <t>Typ</t>
  </si>
  <si>
    <t>Betrag</t>
  </si>
  <si>
    <t>Konto</t>
  </si>
  <si>
    <t>Notizen</t>
  </si>
  <si>
    <t>Gehalt Februar</t>
  </si>
  <si>
    <t>Einnahme</t>
  </si>
  <si>
    <t>Gehalt</t>
  </si>
  <si>
    <t>Hauptkonto</t>
  </si>
  <si>
    <t>Monatsgehalt</t>
  </si>
  <si>
    <t>Freelance Projekt</t>
  </si>
  <si>
    <t>Freelance</t>
  </si>
  <si>
    <t>Webdesign</t>
  </si>
  <si>
    <t>Miete</t>
  </si>
  <si>
    <t>Ausgabe</t>
  </si>
  <si>
    <t>Wohnung</t>
  </si>
  <si>
    <t>Monatsmiete</t>
  </si>
  <si>
    <t>Einkauf REWE</t>
  </si>
  <si>
    <t>Lebensmittel</t>
  </si>
  <si>
    <t>Bargeld</t>
  </si>
  <si>
    <t>Wocheneinkauf</t>
  </si>
  <si>
    <t>Tankstelle</t>
  </si>
  <si>
    <t>Transport</t>
  </si>
  <si>
    <t>Kreditkarte</t>
  </si>
  <si>
    <t>Benzin</t>
  </si>
  <si>
    <t>Netflix</t>
  </si>
  <si>
    <t>Unterhaltung</t>
  </si>
  <si>
    <t>Abo</t>
  </si>
  <si>
    <t>Arztbesuch</t>
  </si>
  <si>
    <t>Gesundheit</t>
  </si>
  <si>
    <t>Zuzahlung</t>
  </si>
  <si>
    <t>Restaurant</t>
  </si>
  <si>
    <t>Abendessen</t>
  </si>
  <si>
    <t>Online Kurs</t>
  </si>
  <si>
    <t>Bildung</t>
  </si>
  <si>
    <t>Udemy</t>
  </si>
  <si>
    <t>Einkauf LIDL</t>
  </si>
  <si>
    <t/>
  </si>
  <si>
    <t>T-Shirt</t>
  </si>
  <si>
    <t>Kleidung</t>
  </si>
  <si>
    <t>H&amp;M</t>
  </si>
  <si>
    <t>Dividende</t>
  </si>
  <si>
    <t>Investitionen</t>
  </si>
  <si>
    <t>Sparkonto</t>
  </si>
  <si>
    <t>ETF Ausschüttung</t>
  </si>
  <si>
    <t>ZUSAMMENFASSUNG</t>
  </si>
  <si>
    <t>KATEGORIEN</t>
  </si>
  <si>
    <t>Monatsbudget</t>
  </si>
  <si>
    <t>Farbe</t>
  </si>
  <si>
    <t>Grün</t>
  </si>
  <si>
    <t>Blau</t>
  </si>
  <si>
    <t>Lila</t>
  </si>
  <si>
    <t>Sonstiges Einkommen</t>
  </si>
  <si>
    <t>Grau</t>
  </si>
  <si>
    <t>Rot</t>
  </si>
  <si>
    <t>Orange</t>
  </si>
  <si>
    <t>Gelb</t>
  </si>
  <si>
    <t>Pink</t>
  </si>
  <si>
    <t>Türkis</t>
  </si>
  <si>
    <t>Indigo</t>
  </si>
  <si>
    <t>Rosa</t>
  </si>
  <si>
    <t>MONATLICHE BUDGETS</t>
  </si>
  <si>
    <t>Status</t>
  </si>
  <si>
    <t>KONTEN</t>
  </si>
  <si>
    <t>Kontoname</t>
  </si>
  <si>
    <t>Startguthaben</t>
  </si>
  <si>
    <t>Aktueller Stand</t>
  </si>
  <si>
    <t>Bank</t>
  </si>
  <si>
    <t>BUDGET TRACKER - ANLEITUNG</t>
  </si>
  <si>
    <t>SO BENUTZT DU DEN BUDGET TRACKER:</t>
  </si>
  <si>
    <t>1. TRANSAKTIONEN EINTRAGEN</t>
  </si>
  <si>
    <t xml:space="preserve">   → Gehe zum Tab 'Transaktionen'</t>
  </si>
  <si>
    <t xml:space="preserve">   → Trage jede Einnahme und Ausgabe ein</t>
  </si>
  <si>
    <t xml:space="preserve">   → Wähle Typ (Einnahme/Ausgabe), Kategorie und Konto aus den Dropdown-Listen</t>
  </si>
  <si>
    <t xml:space="preserve">   → Das Dashboard aktualisiert sich automatisch!</t>
  </si>
  <si>
    <t>2. KATEGORIEN ANPASSEN</t>
  </si>
  <si>
    <t xml:space="preserve">   → Im Tab 'Kategorien' kannst du eigene Kategorien hinzufügen</t>
  </si>
  <si>
    <t xml:space="preserve">   → Setze Monatsbudgets für jede Ausgabe-Kategorie</t>
  </si>
  <si>
    <t>3. BUDGETS VERWALTEN</t>
  </si>
  <si>
    <t xml:space="preserve">   → Der Tab 'Budgets' zeigt dir automatisch wie viel du pro Kategorie ausgegeben hast</t>
  </si>
  <si>
    <t xml:space="preserve">   → Status: OK (grün) = unter 80%, WARNUNG (orange) = 80-100%, ÜBER BUDGET (rot) = über 100%</t>
  </si>
  <si>
    <t>4. KONTEN</t>
  </si>
  <si>
    <t xml:space="preserve">   → Verwalte mehrere Konten (Bank, Bargeld, Kreditkarte, Sparkonto)</t>
  </si>
  <si>
    <t xml:space="preserve">   → Der aktuelle Stand wird automatisch berechnet (Startguthaben + Einnahmen - Ausgaben)</t>
  </si>
  <si>
    <t>5. DASHBOARD</t>
  </si>
  <si>
    <t xml:space="preserve">   → Das Dashboard zeigt dir alle wichtigen Kennzahlen auf einen Blick</t>
  </si>
  <si>
    <t xml:space="preserve">   → Gesamtguthaben, Monatseinnahmen/-ausgaben, Bilanz</t>
  </si>
  <si>
    <t xml:space="preserve">   → Monatsübersicht mit Sparquote</t>
  </si>
  <si>
    <t xml:space="preserve">   → Budget-Status für den aktuellen Monat</t>
  </si>
  <si>
    <t>TIPPS:</t>
  </si>
  <si>
    <t xml:space="preserve">   → Nutze die Filter im Tab 'Transaktionen' (Autofilter in der Kopfzeile)</t>
  </si>
  <si>
    <t xml:space="preserve">   → Trage Transaktionen regelmäßig ein für eine genaue Übersicht</t>
  </si>
  <si>
    <t xml:space="preserve">   → Passe die Budgets monatlich an deine Bedürfnisse an</t>
  </si>
  <si>
    <t xml:space="preserve">   → Du kannst die Beispieldaten löschen und mit deinen eigenen starten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</si>
</sst>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 €"/>
    <numFmt numFmtId="165" formatCode="0.0%"/>
    <numFmt numFmtId="166" formatCode="DD.MM.YYYY"/>
  </numFmts>
  <fonts count="24" x14ac:knownFonts="1">
    <font>
      <color theme="1"/>
      <family val="2"/>
      <scheme val="minor"/>
      <sz val="11"/>
      <name val="Calibri"/>
    </font>
    <font>
      <b/>
      <color rgb="2563EB"/>
      <sz val="20"/>
      <name val="Calibri"/>
    </font>
    <font>
      <color rgb="6B7280"/>
      <sz val="11"/>
      <name val="Calibri"/>
    </font>
    <font>
      <b/>
      <color rgb="2563EB"/>
      <sz val="9"/>
      <name val="Calibri"/>
    </font>
    <font>
      <b/>
      <color rgb="16A34A"/>
      <sz val="9"/>
      <name val="Calibri"/>
    </font>
    <font>
      <b/>
      <color rgb="DC2626"/>
      <sz val="9"/>
      <name val="Calibri"/>
    </font>
    <font>
      <b/>
      <color rgb="7C3AED"/>
      <sz val="9"/>
      <name val="Calibri"/>
    </font>
    <font>
      <b/>
      <color rgb="2563EB"/>
      <sz val="22"/>
      <name val="Calibri"/>
    </font>
    <font>
      <b/>
      <color rgb="16A34A"/>
      <sz val="22"/>
      <name val="Calibri"/>
    </font>
    <font>
      <b/>
      <color rgb="DC2626"/>
      <sz val="22"/>
      <name val="Calibri"/>
    </font>
    <font>
      <b/>
      <color rgb="7C3AED"/>
      <sz val="22"/>
      <name val="Calibri"/>
    </font>
    <font>
      <b/>
      <color rgb="1F2937"/>
      <sz val="12"/>
      <name val="Calibri"/>
    </font>
    <font>
      <b/>
      <color rgb="FFFFFF"/>
      <sz val="11"/>
      <name val="Calibri"/>
    </font>
    <font>
      <b/>
      <color rgb="1F2937"/>
      <sz val="11"/>
      <name val="Calibri"/>
    </font>
    <font>
      <color rgb="16A34A"/>
      <sz val="11"/>
      <name val="Calibri"/>
    </font>
    <font>
      <color rgb="DC2626"/>
      <sz val="11"/>
      <name val="Calibri"/>
    </font>
    <font>
      <color rgb="1F2937"/>
      <sz val="11"/>
      <name val="Calibri"/>
    </font>
    <font>
      <b/>
      <color rgb="2563EB"/>
      <sz val="16"/>
      <name val="Calibri"/>
    </font>
    <font>
      <b/>
      <color rgb="16A34A"/>
      <sz val="11"/>
      <name val="Calibri"/>
    </font>
    <font>
      <b/>
      <color rgb="DC2626"/>
      <sz val="11"/>
      <name val="Calibri"/>
    </font>
    <font>
      <b/>
      <color rgb="FFFFFF"/>
      <sz val="12"/>
      <name val="Calibri"/>
    </font>
    <font>
      <b/>
      <color rgb="2563EB"/>
      <sz val="18"/>
      <name val="Calibri"/>
    </font>
    <font>
      <b/>
      <color rgb="1F2937"/>
      <sz val="13"/>
      <name val="Calibri"/>
    </font>
    <font>
      <b/>
      <color rgb="2563EB"/>
      <sz val="12"/>
      <name val="Calibri"/>
    </font>
  </fonts>
  <fills count="11">
    <fill>
      <patternFill patternType="none"/>
    </fill>
    <fill>
      <patternFill patternType="gray125"/>
    </fill>
    <fill>
      <patternFill patternType="solid">
        <fgColor rgb="DBEAFE"/>
      </patternFill>
    </fill>
    <fill>
      <patternFill patternType="solid">
        <fgColor rgb="DCFCE7"/>
      </patternFill>
    </fill>
    <fill>
      <patternFill patternType="solid">
        <fgColor rgb="FEE2E2"/>
      </patternFill>
    </fill>
    <fill>
      <patternFill patternType="solid">
        <fgColor rgb="EDE9FE"/>
      </patternFill>
    </fill>
    <fill>
      <patternFill patternType="solid">
        <fgColor rgb="F3F4F6"/>
      </patternFill>
    </fill>
    <fill>
      <patternFill patternType="solid">
        <fgColor rgb="1E3A5F"/>
      </patternFill>
    </fill>
    <fill>
      <patternFill patternType="solid">
        <fgColor rgb="F8FAFC"/>
      </patternFill>
    </fill>
    <fill>
      <patternFill patternType="solid">
        <fgColor rgb="F0FDF4"/>
      </patternFill>
    </fill>
    <fill>
      <patternFill patternType="solid">
        <fgColor rgb="FEF2F2"/>
      </patternFill>
    </fill>
  </fills>
  <borders count="2">
    <border>
      <left/>
      <right/>
      <top/>
      <bottom/>
      <diagonal/>
    </border>
    <border>
      <left style="thin">
        <color rgb="E5E7EB"/>
      </left>
      <right style="thin">
        <color rgb="E5E7EB"/>
      </right>
      <top style="thin">
        <color rgb="E5E7EB"/>
      </top>
      <bottom style="thin">
        <color rgb="E5E7E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/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/>
    <xf numFmtId="164" fontId="7" fillId="2" borderId="1" xfId="0" applyNumberFormat="1" applyFont="1" applyFill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164" fontId="10" fillId="5" borderId="1" xfId="0" applyNumberFormat="1" applyFont="1" applyFill="1" applyBorder="1" applyAlignment="1">
      <alignment horizontal="center"/>
    </xf>
    <xf numFmtId="0" fontId="11" fillId="6" borderId="1" xfId="0" applyFont="1" applyFill="1" applyBorder="1" applyAlignment="1">
      <alignment vertical="center"/>
    </xf>
    <xf numFmtId="0" fontId="12" fillId="7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/>
    </xf>
    <xf numFmtId="164" fontId="14" fillId="0" borderId="1" xfId="0" applyNumberFormat="1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164" fontId="13" fillId="0" borderId="1" xfId="0" applyNumberFormat="1" applyFont="1" applyBorder="1" applyAlignment="1">
      <alignment vertical="center"/>
    </xf>
    <xf numFmtId="165" fontId="16" fillId="0" borderId="1" xfId="0" applyNumberFormat="1" applyFont="1" applyBorder="1" applyAlignment="1">
      <alignment vertical="center"/>
    </xf>
    <xf numFmtId="0" fontId="13" fillId="8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vertical="center"/>
    </xf>
    <xf numFmtId="164" fontId="15" fillId="8" borderId="1" xfId="0" applyNumberFormat="1" applyFont="1" applyFill="1" applyBorder="1" applyAlignment="1">
      <alignment vertical="center"/>
    </xf>
    <xf numFmtId="164" fontId="13" fillId="8" borderId="1" xfId="0" applyNumberFormat="1" applyFont="1" applyFill="1" applyBorder="1" applyAlignment="1">
      <alignment vertical="center"/>
    </xf>
    <xf numFmtId="165" fontId="16" fillId="8" borderId="1" xfId="0" applyNumberFormat="1" applyFont="1" applyFill="1" applyBorder="1" applyAlignment="1">
      <alignment vertical="center"/>
    </xf>
    <xf numFmtId="0" fontId="12" fillId="7" borderId="1" xfId="0" applyFont="1" applyFill="1" applyBorder="1" applyAlignment="1">
      <alignment vertical="center"/>
    </xf>
    <xf numFmtId="164" fontId="12" fillId="7" borderId="1" xfId="0" applyNumberFormat="1" applyFont="1" applyFill="1" applyBorder="1" applyAlignment="1">
      <alignment vertical="center"/>
    </xf>
    <xf numFmtId="165" fontId="12" fillId="7" borderId="1" xfId="0" applyNumberFormat="1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6" fillId="0" borderId="1" xfId="0" applyFont="1" applyBorder="1" applyAlignment="1">
      <alignment vertical="center"/>
    </xf>
    <xf numFmtId="164" fontId="16" fillId="0" borderId="1" xfId="0" applyNumberFormat="1" applyFont="1" applyBorder="1" applyAlignment="1">
      <alignment vertical="center"/>
    </xf>
    <xf numFmtId="0" fontId="16" fillId="8" borderId="1" xfId="0" applyFont="1" applyFill="1" applyBorder="1" applyAlignment="1">
      <alignment vertical="center"/>
    </xf>
    <xf numFmtId="164" fontId="16" fillId="8" borderId="1" xfId="0" applyNumberFormat="1" applyFont="1" applyFill="1" applyBorder="1" applyAlignment="1">
      <alignment vertical="center"/>
    </xf>
    <xf numFmtId="0" fontId="17" fillId="0" borderId="0" xfId="0" applyFont="1" applyAlignment="1">
      <alignment horizontal="left" vertical="center"/>
    </xf>
    <xf numFmtId="166" fontId="16" fillId="0" borderId="1" xfId="0" applyNumberFormat="1" applyFont="1" applyBorder="1" applyAlignment="1">
      <alignment vertical="center"/>
    </xf>
    <xf numFmtId="0" fontId="18" fillId="9" borderId="1" xfId="0" applyFont="1" applyFill="1" applyBorder="1" applyAlignment="1">
      <alignment vertical="center"/>
    </xf>
    <xf numFmtId="164" fontId="18" fillId="0" borderId="1" xfId="0" applyNumberFormat="1" applyFont="1" applyBorder="1" applyAlignment="1">
      <alignment vertical="center"/>
    </xf>
    <xf numFmtId="166" fontId="16" fillId="8" borderId="1" xfId="0" applyNumberFormat="1" applyFont="1" applyFill="1" applyBorder="1" applyAlignment="1">
      <alignment vertical="center"/>
    </xf>
    <xf numFmtId="164" fontId="18" fillId="8" borderId="1" xfId="0" applyNumberFormat="1" applyFont="1" applyFill="1" applyBorder="1" applyAlignment="1">
      <alignment vertical="center"/>
    </xf>
    <xf numFmtId="0" fontId="19" fillId="10" borderId="1" xfId="0" applyFont="1" applyFill="1" applyBorder="1" applyAlignment="1">
      <alignment vertical="center"/>
    </xf>
    <xf numFmtId="164" fontId="19" fillId="0" borderId="1" xfId="0" applyNumberFormat="1" applyFont="1" applyBorder="1" applyAlignment="1">
      <alignment vertical="center"/>
    </xf>
    <xf numFmtId="164" fontId="19" fillId="8" borderId="1" xfId="0" applyNumberFormat="1" applyFont="1" applyFill="1" applyBorder="1" applyAlignment="1">
      <alignment vertical="center"/>
    </xf>
    <xf numFmtId="0" fontId="12" fillId="7" borderId="0" xfId="0" applyFont="1" applyFill="1" applyAlignment="1">
      <alignment vertical="center"/>
    </xf>
    <xf numFmtId="164" fontId="20" fillId="7" borderId="0" xfId="0" applyNumberFormat="1" applyFont="1" applyFill="1" applyAlignment="1">
      <alignment vertical="center"/>
    </xf>
    <xf numFmtId="0" fontId="17" fillId="0" borderId="0" xfId="0" applyFont="1"/>
    <xf numFmtId="0" fontId="18" fillId="0" borderId="1" xfId="0" applyFont="1" applyBorder="1" applyAlignment="1">
      <alignment vertical="center"/>
    </xf>
    <xf numFmtId="0" fontId="18" fillId="8" borderId="1" xfId="0" applyFont="1" applyFill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19" fillId="8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vertical="center"/>
    </xf>
    <xf numFmtId="164" fontId="11" fillId="8" borderId="1" xfId="0" applyNumberFormat="1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16" fillId="0" borderId="0" xfId="0" applyFont="1"/>
    <xf numFmtId="0" fontId="22" fillId="0" borderId="0" xfId="0" applyFont="1"/>
    <xf numFmtId="0" fontId="23" fillId="0" borderId="0" xfId="0" applyFont="1"/>
    <xf numFmtId="0" fontId="2" fillId="0" borderId="0" xfId="0" applyFont="1"/>
  </cellXfs>
  <cellStyles count="1">
    <cellStyle name="Normal" xfId="0" builtinId="0"/>
  </cellStyles>
  <dxfs count="5">
    <dxf>
      <font>
        <b/>
        <color rgb="DC2626"/>
      </font>
      <fill>
        <patternFill patternType="solid">
          <bgColor rgb="FEE2E2"/>
        </patternFill>
      </fill>
    </dxf>
    <dxf>
      <font>
        <b/>
        <color rgb="EA580C"/>
      </font>
      <fill>
        <patternFill patternType="solid">
          <bgColor rgb="FFEDD5"/>
        </patternFill>
      </fill>
    </dxf>
    <dxf>
      <font>
        <b/>
        <color rgb="16A34A"/>
      </font>
      <fill>
        <patternFill patternType="solid">
          <bgColor rgb="DCFCE7"/>
        </patternFill>
      </fill>
    </dxf>
    <dxf>
      <font>
        <b/>
        <color rgb="DC2626"/>
      </font>
      <fill>
        <patternFill patternType="solid">
          <bgColor rgb="FEE2E2"/>
        </patternFill>
      </fill>
    </dxf>
    <dxf>
      <font>
        <b/>
        <color rgb="16A34A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2563EB"/>
  </sheetPr>
  <dimension ref="A1:H34"/>
  <sheetFormatPr defaultRowHeight="20" outlineLevelRow="0" outlineLevelCol="0" x14ac:dyDescent="55" customHeight="1"/>
  <cols>
    <col min="1" max="1" width="16" customWidth="1"/>
    <col min="2" max="4" width="18" customWidth="1"/>
    <col min="5" max="8" width="14" customWidth="1"/>
  </cols>
  <sheetData>
    <row r="1" ht="45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2</v>
      </c>
      <c r="B4" s="3"/>
      <c r="C4" s="4" t="s">
        <v>3</v>
      </c>
      <c r="D4" s="4"/>
      <c r="E4" s="5" t="s">
        <v>4</v>
      </c>
      <c r="F4" s="5"/>
      <c r="G4" s="6" t="s">
        <v>5</v>
      </c>
      <c r="H4" s="6"/>
    </row>
    <row r="5" spans="1:8" x14ac:dyDescent="0.25">
      <c r="A5" s="7">
        <f>Konten!E15</f>
      </c>
      <c r="B5" s="7"/>
      <c r="C5" s="8">
        <f>SUMPRODUCT((Transaktionen!C3:C1000="Einnahme")*(MONTH(Transaktionen!B3:B1000)=MONTH(TODAY()))*(YEAR(Transaktionen!B3:B1000)=YEAR(TODAY()))*Transaktionen!E3:E1000)</f>
      </c>
      <c r="D5" s="8"/>
      <c r="E5" s="9">
        <f>SUMPRODUCT((Transaktionen!C3:C1000="Ausgabe")*(MONTH(Transaktionen!B3:B1000)=MONTH(TODAY()))*(YEAR(Transaktionen!B3:B1000)=YEAR(TODAY()))*Transaktionen!E3:E1000)</f>
      </c>
      <c r="F5" s="9"/>
      <c r="G5" s="10">
        <f>C5-E5</f>
      </c>
      <c r="H5" s="10"/>
    </row>
    <row r="7" ht="30" customHeight="1" spans="1:8" x14ac:dyDescent="0.25">
      <c r="A7" s="11" t="s">
        <v>6</v>
      </c>
      <c r="B7" s="11"/>
      <c r="C7" s="11"/>
      <c r="D7" s="11"/>
      <c r="E7" s="11"/>
      <c r="F7" s="11"/>
      <c r="G7" s="11"/>
      <c r="H7" s="11"/>
    </row>
    <row r="8" ht="30" customHeight="1" spans="1:5" x14ac:dyDescent="0.25">
      <c r="A8" s="12" t="s">
        <v>7</v>
      </c>
      <c r="B8" s="12" t="s">
        <v>8</v>
      </c>
      <c r="C8" s="12" t="s">
        <v>9</v>
      </c>
      <c r="D8" s="12" t="s">
        <v>10</v>
      </c>
      <c r="E8" s="12" t="s">
        <v>11</v>
      </c>
    </row>
    <row r="9" spans="1:5" x14ac:dyDescent="0.25">
      <c r="A9" s="13" t="s">
        <v>12</v>
      </c>
      <c r="B9" s="14">
        <f>SUMPRODUCT((Transaktionen!C$3:C$1000="Einnahme")*(MONTH(Transaktionen!B$3:B$1000)=1)*(YEAR(Transaktionen!B$3:B$1000)=YEAR(TODAY()))*Transaktionen!E$3:E$1000)</f>
      </c>
      <c r="C9" s="15">
        <f>SUMPRODUCT((Transaktionen!C$3:C$1000="Ausgabe")*(MONTH(Transaktionen!B$3:B$1000)=1)*(YEAR(Transaktionen!B$3:B$1000)=YEAR(TODAY()))*Transaktionen!E$3:E$1000)</f>
      </c>
      <c r="D9" s="16">
        <f>B9-C9</f>
      </c>
      <c r="E9" s="17">
        <f>IF(B9=0,0,D9/B9)</f>
      </c>
    </row>
    <row r="10" spans="1:5" x14ac:dyDescent="0.25">
      <c r="A10" s="18" t="s">
        <v>13</v>
      </c>
      <c r="B10" s="19">
        <f>SUMPRODUCT((Transaktionen!C$3:C$1000="Einnahme")*(MONTH(Transaktionen!B$3:B$1000)=2)*(YEAR(Transaktionen!B$3:B$1000)=YEAR(TODAY()))*Transaktionen!E$3:E$1000)</f>
      </c>
      <c r="C10" s="20">
        <f>SUMPRODUCT((Transaktionen!C$3:C$1000="Ausgabe")*(MONTH(Transaktionen!B$3:B$1000)=2)*(YEAR(Transaktionen!B$3:B$1000)=YEAR(TODAY()))*Transaktionen!E$3:E$1000)</f>
      </c>
      <c r="D10" s="21">
        <f>B10-C10</f>
      </c>
      <c r="E10" s="22">
        <f>IF(B10=0,0,D10/B10)</f>
      </c>
    </row>
    <row r="11" spans="1:5" x14ac:dyDescent="0.25">
      <c r="A11" s="13" t="s">
        <v>14</v>
      </c>
      <c r="B11" s="14">
        <f>SUMPRODUCT((Transaktionen!C$3:C$1000="Einnahme")*(MONTH(Transaktionen!B$3:B$1000)=3)*(YEAR(Transaktionen!B$3:B$1000)=YEAR(TODAY()))*Transaktionen!E$3:E$1000)</f>
      </c>
      <c r="C11" s="15">
        <f>SUMPRODUCT((Transaktionen!C$3:C$1000="Ausgabe")*(MONTH(Transaktionen!B$3:B$1000)=3)*(YEAR(Transaktionen!B$3:B$1000)=YEAR(TODAY()))*Transaktionen!E$3:E$1000)</f>
      </c>
      <c r="D11" s="16">
        <f>B11-C11</f>
      </c>
      <c r="E11" s="17">
        <f>IF(B11=0,0,D11/B11)</f>
      </c>
    </row>
    <row r="12" spans="1:5" x14ac:dyDescent="0.25">
      <c r="A12" s="18" t="s">
        <v>15</v>
      </c>
      <c r="B12" s="19">
        <f>SUMPRODUCT((Transaktionen!C$3:C$1000="Einnahme")*(MONTH(Transaktionen!B$3:B$1000)=4)*(YEAR(Transaktionen!B$3:B$1000)=YEAR(TODAY()))*Transaktionen!E$3:E$1000)</f>
      </c>
      <c r="C12" s="20">
        <f>SUMPRODUCT((Transaktionen!C$3:C$1000="Ausgabe")*(MONTH(Transaktionen!B$3:B$1000)=4)*(YEAR(Transaktionen!B$3:B$1000)=YEAR(TODAY()))*Transaktionen!E$3:E$1000)</f>
      </c>
      <c r="D12" s="21">
        <f>B12-C12</f>
      </c>
      <c r="E12" s="22">
        <f>IF(B12=0,0,D12/B12)</f>
      </c>
    </row>
    <row r="13" spans="1:5" x14ac:dyDescent="0.25">
      <c r="A13" s="13" t="s">
        <v>16</v>
      </c>
      <c r="B13" s="14">
        <f>SUMPRODUCT((Transaktionen!C$3:C$1000="Einnahme")*(MONTH(Transaktionen!B$3:B$1000)=5)*(YEAR(Transaktionen!B$3:B$1000)=YEAR(TODAY()))*Transaktionen!E$3:E$1000)</f>
      </c>
      <c r="C13" s="15">
        <f>SUMPRODUCT((Transaktionen!C$3:C$1000="Ausgabe")*(MONTH(Transaktionen!B$3:B$1000)=5)*(YEAR(Transaktionen!B$3:B$1000)=YEAR(TODAY()))*Transaktionen!E$3:E$1000)</f>
      </c>
      <c r="D13" s="16">
        <f>B13-C13</f>
      </c>
      <c r="E13" s="17">
        <f>IF(B13=0,0,D13/B13)</f>
      </c>
    </row>
    <row r="14" spans="1:5" x14ac:dyDescent="0.25">
      <c r="A14" s="18" t="s">
        <v>17</v>
      </c>
      <c r="B14" s="19">
        <f>SUMPRODUCT((Transaktionen!C$3:C$1000="Einnahme")*(MONTH(Transaktionen!B$3:B$1000)=6)*(YEAR(Transaktionen!B$3:B$1000)=YEAR(TODAY()))*Transaktionen!E$3:E$1000)</f>
      </c>
      <c r="C14" s="20">
        <f>SUMPRODUCT((Transaktionen!C$3:C$1000="Ausgabe")*(MONTH(Transaktionen!B$3:B$1000)=6)*(YEAR(Transaktionen!B$3:B$1000)=YEAR(TODAY()))*Transaktionen!E$3:E$1000)</f>
      </c>
      <c r="D14" s="21">
        <f>B14-C14</f>
      </c>
      <c r="E14" s="22">
        <f>IF(B14=0,0,D14/B14)</f>
      </c>
    </row>
    <row r="15" spans="1:5" x14ac:dyDescent="0.25">
      <c r="A15" s="13" t="s">
        <v>18</v>
      </c>
      <c r="B15" s="14">
        <f>SUMPRODUCT((Transaktionen!C$3:C$1000="Einnahme")*(MONTH(Transaktionen!B$3:B$1000)=7)*(YEAR(Transaktionen!B$3:B$1000)=YEAR(TODAY()))*Transaktionen!E$3:E$1000)</f>
      </c>
      <c r="C15" s="15">
        <f>SUMPRODUCT((Transaktionen!C$3:C$1000="Ausgabe")*(MONTH(Transaktionen!B$3:B$1000)=7)*(YEAR(Transaktionen!B$3:B$1000)=YEAR(TODAY()))*Transaktionen!E$3:E$1000)</f>
      </c>
      <c r="D15" s="16">
        <f>B15-C15</f>
      </c>
      <c r="E15" s="17">
        <f>IF(B15=0,0,D15/B15)</f>
      </c>
    </row>
    <row r="16" spans="1:5" x14ac:dyDescent="0.25">
      <c r="A16" s="18" t="s">
        <v>19</v>
      </c>
      <c r="B16" s="19">
        <f>SUMPRODUCT((Transaktionen!C$3:C$1000="Einnahme")*(MONTH(Transaktionen!B$3:B$1000)=8)*(YEAR(Transaktionen!B$3:B$1000)=YEAR(TODAY()))*Transaktionen!E$3:E$1000)</f>
      </c>
      <c r="C16" s="20">
        <f>SUMPRODUCT((Transaktionen!C$3:C$1000="Ausgabe")*(MONTH(Transaktionen!B$3:B$1000)=8)*(YEAR(Transaktionen!B$3:B$1000)=YEAR(TODAY()))*Transaktionen!E$3:E$1000)</f>
      </c>
      <c r="D16" s="21">
        <f>B16-C16</f>
      </c>
      <c r="E16" s="22">
        <f>IF(B16=0,0,D16/B16)</f>
      </c>
    </row>
    <row r="17" spans="1:5" x14ac:dyDescent="0.25">
      <c r="A17" s="13" t="s">
        <v>20</v>
      </c>
      <c r="B17" s="14">
        <f>SUMPRODUCT((Transaktionen!C$3:C$1000="Einnahme")*(MONTH(Transaktionen!B$3:B$1000)=9)*(YEAR(Transaktionen!B$3:B$1000)=YEAR(TODAY()))*Transaktionen!E$3:E$1000)</f>
      </c>
      <c r="C17" s="15">
        <f>SUMPRODUCT((Transaktionen!C$3:C$1000="Ausgabe")*(MONTH(Transaktionen!B$3:B$1000)=9)*(YEAR(Transaktionen!B$3:B$1000)=YEAR(TODAY()))*Transaktionen!E$3:E$1000)</f>
      </c>
      <c r="D17" s="16">
        <f>B17-C17</f>
      </c>
      <c r="E17" s="17">
        <f>IF(B17=0,0,D17/B17)</f>
      </c>
    </row>
    <row r="18" spans="1:5" x14ac:dyDescent="0.25">
      <c r="A18" s="18" t="s">
        <v>21</v>
      </c>
      <c r="B18" s="19">
        <f>SUMPRODUCT((Transaktionen!C$3:C$1000="Einnahme")*(MONTH(Transaktionen!B$3:B$1000)=10)*(YEAR(Transaktionen!B$3:B$1000)=YEAR(TODAY()))*Transaktionen!E$3:E$1000)</f>
      </c>
      <c r="C18" s="20">
        <f>SUMPRODUCT((Transaktionen!C$3:C$1000="Ausgabe")*(MONTH(Transaktionen!B$3:B$1000)=10)*(YEAR(Transaktionen!B$3:B$1000)=YEAR(TODAY()))*Transaktionen!E$3:E$1000)</f>
      </c>
      <c r="D18" s="21">
        <f>B18-C18</f>
      </c>
      <c r="E18" s="22">
        <f>IF(B18=0,0,D18/B18)</f>
      </c>
    </row>
    <row r="19" spans="1:5" x14ac:dyDescent="0.25">
      <c r="A19" s="13" t="s">
        <v>22</v>
      </c>
      <c r="B19" s="14">
        <f>SUMPRODUCT((Transaktionen!C$3:C$1000="Einnahme")*(MONTH(Transaktionen!B$3:B$1000)=11)*(YEAR(Transaktionen!B$3:B$1000)=YEAR(TODAY()))*Transaktionen!E$3:E$1000)</f>
      </c>
      <c r="C19" s="15">
        <f>SUMPRODUCT((Transaktionen!C$3:C$1000="Ausgabe")*(MONTH(Transaktionen!B$3:B$1000)=11)*(YEAR(Transaktionen!B$3:B$1000)=YEAR(TODAY()))*Transaktionen!E$3:E$1000)</f>
      </c>
      <c r="D19" s="16">
        <f>B19-C19</f>
      </c>
      <c r="E19" s="17">
        <f>IF(B19=0,0,D19/B19)</f>
      </c>
    </row>
    <row r="20" spans="1:5" x14ac:dyDescent="0.25">
      <c r="A20" s="18" t="s">
        <v>23</v>
      </c>
      <c r="B20" s="19">
        <f>SUMPRODUCT((Transaktionen!C$3:C$1000="Einnahme")*(MONTH(Transaktionen!B$3:B$1000)=12)*(YEAR(Transaktionen!B$3:B$1000)=YEAR(TODAY()))*Transaktionen!E$3:E$1000)</f>
      </c>
      <c r="C20" s="20">
        <f>SUMPRODUCT((Transaktionen!C$3:C$1000="Ausgabe")*(MONTH(Transaktionen!B$3:B$1000)=12)*(YEAR(Transaktionen!B$3:B$1000)=YEAR(TODAY()))*Transaktionen!E$3:E$1000)</f>
      </c>
      <c r="D20" s="21">
        <f>B20-C20</f>
      </c>
      <c r="E20" s="22">
        <f>IF(B20=0,0,D20/B20)</f>
      </c>
    </row>
    <row r="21" ht="28" customHeight="1" spans="1:5" x14ac:dyDescent="0.25">
      <c r="A21" s="23" t="s">
        <v>24</v>
      </c>
      <c r="B21" s="24">
        <f>SUM(B9:B20)</f>
      </c>
      <c r="C21" s="24">
        <f>SUM(C9:C20)</f>
      </c>
      <c r="D21" s="24">
        <f>B21-C21</f>
      </c>
      <c r="E21" s="25">
        <f>IF(B21=0,0,D21/B21)</f>
      </c>
    </row>
    <row r="23" ht="30" customHeight="1" spans="1:8" x14ac:dyDescent="0.25">
      <c r="A23" s="26" t="s">
        <v>25</v>
      </c>
      <c r="B23" s="26"/>
      <c r="C23" s="26"/>
      <c r="D23" s="26"/>
      <c r="E23" s="26"/>
      <c r="F23" s="26"/>
      <c r="G23" s="26"/>
      <c r="H23" s="26"/>
    </row>
    <row r="24" ht="30" customHeight="1" spans="1:5" x14ac:dyDescent="0.25">
      <c r="A24" s="12" t="s">
        <v>26</v>
      </c>
      <c r="B24" s="12" t="s">
        <v>27</v>
      </c>
      <c r="C24" s="12" t="s">
        <v>28</v>
      </c>
      <c r="D24" s="12" t="s">
        <v>29</v>
      </c>
      <c r="E24" s="12" t="s">
        <v>30</v>
      </c>
    </row>
    <row r="25" spans="1:5" x14ac:dyDescent="0.25">
      <c r="A25" s="27">
        <f>IF(Budgets!A3="","",Budgets!A3)</f>
      </c>
      <c r="B25" s="28">
        <f>IF(A25="","",Budgets!B3)</f>
      </c>
      <c r="C25" s="28">
        <f>IF(A25="","",SUMPRODUCT((Transaktionen!C$3:C$1000="Ausgabe")*(Transaktionen!D$3:D$1000=A25)*(MONTH(Transaktionen!B$3:B$1000)=MONTH(TODAY()))*(YEAR(Transaktionen!B$3:B$1000)=YEAR(TODAY()))*Transaktionen!E$3:E$1000))</f>
      </c>
      <c r="D25" s="28">
        <f>IF(A25="","",B25-C25)</f>
      </c>
      <c r="E25" s="17">
        <f>IF(OR(A25="",B25=0),"",C25/B25)</f>
      </c>
    </row>
    <row r="26" spans="1:5" x14ac:dyDescent="0.25">
      <c r="A26" s="29">
        <f>IF(Budgets!A4="","",Budgets!A4)</f>
      </c>
      <c r="B26" s="30">
        <f>IF(A26="","",Budgets!B4)</f>
      </c>
      <c r="C26" s="30">
        <f>IF(A26="","",SUMPRODUCT((Transaktionen!C$3:C$1000="Ausgabe")*(Transaktionen!D$3:D$1000=A26)*(MONTH(Transaktionen!B$3:B$1000)=MONTH(TODAY()))*(YEAR(Transaktionen!B$3:B$1000)=YEAR(TODAY()))*Transaktionen!E$3:E$1000))</f>
      </c>
      <c r="D26" s="30">
        <f>IF(A26="","",B26-C26)</f>
      </c>
      <c r="E26" s="22">
        <f>IF(OR(A26="",B26=0),"",C26/B26)</f>
      </c>
    </row>
    <row r="27" spans="1:5" x14ac:dyDescent="0.25">
      <c r="A27" s="27">
        <f>IF(Budgets!A5="","",Budgets!A5)</f>
      </c>
      <c r="B27" s="28">
        <f>IF(A27="","",Budgets!B5)</f>
      </c>
      <c r="C27" s="28">
        <f>IF(A27="","",SUMPRODUCT((Transaktionen!C$3:C$1000="Ausgabe")*(Transaktionen!D$3:D$1000=A27)*(MONTH(Transaktionen!B$3:B$1000)=MONTH(TODAY()))*(YEAR(Transaktionen!B$3:B$1000)=YEAR(TODAY()))*Transaktionen!E$3:E$1000))</f>
      </c>
      <c r="D27" s="28">
        <f>IF(A27="","",B27-C27)</f>
      </c>
      <c r="E27" s="17">
        <f>IF(OR(A27="",B27=0),"",C27/B27)</f>
      </c>
    </row>
    <row r="28" spans="1:5" x14ac:dyDescent="0.25">
      <c r="A28" s="29">
        <f>IF(Budgets!A6="","",Budgets!A6)</f>
      </c>
      <c r="B28" s="30">
        <f>IF(A28="","",Budgets!B6)</f>
      </c>
      <c r="C28" s="30">
        <f>IF(A28="","",SUMPRODUCT((Transaktionen!C$3:C$1000="Ausgabe")*(Transaktionen!D$3:D$1000=A28)*(MONTH(Transaktionen!B$3:B$1000)=MONTH(TODAY()))*(YEAR(Transaktionen!B$3:B$1000)=YEAR(TODAY()))*Transaktionen!E$3:E$1000))</f>
      </c>
      <c r="D28" s="30">
        <f>IF(A28="","",B28-C28)</f>
      </c>
      <c r="E28" s="22">
        <f>IF(OR(A28="",B28=0),"",C28/B28)</f>
      </c>
    </row>
    <row r="29" spans="1:5" x14ac:dyDescent="0.25">
      <c r="A29" s="27">
        <f>IF(Budgets!A7="","",Budgets!A7)</f>
      </c>
      <c r="B29" s="28">
        <f>IF(A29="","",Budgets!B7)</f>
      </c>
      <c r="C29" s="28">
        <f>IF(A29="","",SUMPRODUCT((Transaktionen!C$3:C$1000="Ausgabe")*(Transaktionen!D$3:D$1000=A29)*(MONTH(Transaktionen!B$3:B$1000)=MONTH(TODAY()))*(YEAR(Transaktionen!B$3:B$1000)=YEAR(TODAY()))*Transaktionen!E$3:E$1000))</f>
      </c>
      <c r="D29" s="28">
        <f>IF(A29="","",B29-C29)</f>
      </c>
      <c r="E29" s="17">
        <f>IF(OR(A29="",B29=0),"",C29/B29)</f>
      </c>
    </row>
    <row r="30" spans="1:5" x14ac:dyDescent="0.25">
      <c r="A30" s="29">
        <f>IF(Budgets!A8="","",Budgets!A8)</f>
      </c>
      <c r="B30" s="30">
        <f>IF(A30="","",Budgets!B8)</f>
      </c>
      <c r="C30" s="30">
        <f>IF(A30="","",SUMPRODUCT((Transaktionen!C$3:C$1000="Ausgabe")*(Transaktionen!D$3:D$1000=A30)*(MONTH(Transaktionen!B$3:B$1000)=MONTH(TODAY()))*(YEAR(Transaktionen!B$3:B$1000)=YEAR(TODAY()))*Transaktionen!E$3:E$1000))</f>
      </c>
      <c r="D30" s="30">
        <f>IF(A30="","",B30-C30)</f>
      </c>
      <c r="E30" s="22">
        <f>IF(OR(A30="",B30=0),"",C30/B30)</f>
      </c>
    </row>
    <row r="31" spans="1:5" x14ac:dyDescent="0.25">
      <c r="A31" s="27">
        <f>IF(Budgets!A9="","",Budgets!A9)</f>
      </c>
      <c r="B31" s="28">
        <f>IF(A31="","",Budgets!B9)</f>
      </c>
      <c r="C31" s="28">
        <f>IF(A31="","",SUMPRODUCT((Transaktionen!C$3:C$1000="Ausgabe")*(Transaktionen!D$3:D$1000=A31)*(MONTH(Transaktionen!B$3:B$1000)=MONTH(TODAY()))*(YEAR(Transaktionen!B$3:B$1000)=YEAR(TODAY()))*Transaktionen!E$3:E$1000))</f>
      </c>
      <c r="D31" s="28">
        <f>IF(A31="","",B31-C31)</f>
      </c>
      <c r="E31" s="17">
        <f>IF(OR(A31="",B31=0),"",C31/B31)</f>
      </c>
    </row>
    <row r="32" spans="1:5" x14ac:dyDescent="0.25">
      <c r="A32" s="29">
        <f>IF(Budgets!A10="","",Budgets!A10)</f>
      </c>
      <c r="B32" s="30">
        <f>IF(A32="","",Budgets!B10)</f>
      </c>
      <c r="C32" s="30">
        <f>IF(A32="","",SUMPRODUCT((Transaktionen!C$3:C$1000="Ausgabe")*(Transaktionen!D$3:D$1000=A32)*(MONTH(Transaktionen!B$3:B$1000)=MONTH(TODAY()))*(YEAR(Transaktionen!B$3:B$1000)=YEAR(TODAY()))*Transaktionen!E$3:E$1000))</f>
      </c>
      <c r="D32" s="30">
        <f>IF(A32="","",B32-C32)</f>
      </c>
      <c r="E32" s="22">
        <f>IF(OR(A32="",B32=0),"",C32/B32)</f>
      </c>
    </row>
    <row r="33" spans="1:5" x14ac:dyDescent="0.25">
      <c r="A33" s="27">
        <f>IF(Budgets!A11="","",Budgets!A11)</f>
      </c>
      <c r="B33" s="28">
        <f>IF(A33="","",Budgets!B11)</f>
      </c>
      <c r="C33" s="28">
        <f>IF(A33="","",SUMPRODUCT((Transaktionen!C$3:C$1000="Ausgabe")*(Transaktionen!D$3:D$1000=A33)*(MONTH(Transaktionen!B$3:B$1000)=MONTH(TODAY()))*(YEAR(Transaktionen!B$3:B$1000)=YEAR(TODAY()))*Transaktionen!E$3:E$1000))</f>
      </c>
      <c r="D33" s="28">
        <f>IF(A33="","",B33-C33)</f>
      </c>
      <c r="E33" s="17">
        <f>IF(OR(A33="",B33=0),"",C33/B33)</f>
      </c>
    </row>
    <row r="34" spans="1:5" x14ac:dyDescent="0.25">
      <c r="A34" s="29">
        <f>IF(Budgets!A12="","",Budgets!A12)</f>
      </c>
      <c r="B34" s="30">
        <f>IF(A34="","",Budgets!B12)</f>
      </c>
      <c r="C34" s="30">
        <f>IF(A34="","",SUMPRODUCT((Transaktionen!C$3:C$1000="Ausgabe")*(Transaktionen!D$3:D$1000=A34)*(MONTH(Transaktionen!B$3:B$1000)=MONTH(TODAY()))*(YEAR(Transaktionen!B$3:B$1000)=YEAR(TODAY()))*Transaktionen!E$3:E$1000))</f>
      </c>
      <c r="D34" s="30">
        <f>IF(A34="","",B34-C34)</f>
      </c>
      <c r="E34" s="22">
        <f>IF(OR(A34="",B34=0),"",C34/B34)</f>
      </c>
    </row>
  </sheetData>
  <sheetProtection sheet="1"/>
  <mergeCells count="12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  <mergeCell ref="A7:H7"/>
    <mergeCell ref="A23:H2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6A34A"/>
  </sheetPr>
  <dimension ref="A1:G104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  <col min="4" max="4" width="18" customWidth="1"/>
    <col min="5" max="6" width="16" customWidth="1"/>
    <col min="7" max="7" width="25" customWidth="1"/>
  </cols>
  <sheetData>
    <row r="1" ht="35" customHeight="1" spans="1:7" x14ac:dyDescent="0.25">
      <c r="A1" s="31" t="s">
        <v>31</v>
      </c>
      <c r="B1" s="31"/>
      <c r="C1" s="31"/>
      <c r="D1" s="31"/>
      <c r="E1" s="31"/>
      <c r="F1" s="31"/>
      <c r="G1" s="31"/>
    </row>
    <row r="2" ht="30" customHeight="1" spans="1:7" x14ac:dyDescent="0.25">
      <c r="A2" s="12" t="s">
        <v>32</v>
      </c>
      <c r="B2" s="12" t="s">
        <v>33</v>
      </c>
      <c r="C2" s="12" t="s">
        <v>34</v>
      </c>
      <c r="D2" s="12" t="s">
        <v>26</v>
      </c>
      <c r="E2" s="12" t="s">
        <v>35</v>
      </c>
      <c r="F2" s="12" t="s">
        <v>36</v>
      </c>
      <c r="G2" s="12" t="s">
        <v>37</v>
      </c>
    </row>
    <row r="3" spans="1:7" x14ac:dyDescent="0.25">
      <c r="A3" s="27" t="s">
        <v>38</v>
      </c>
      <c r="B3" s="32">
        <v>46054</v>
      </c>
      <c r="C3" s="33" t="s">
        <v>39</v>
      </c>
      <c r="D3" s="27" t="s">
        <v>40</v>
      </c>
      <c r="E3" s="34">
        <v>3500</v>
      </c>
      <c r="F3" s="27" t="s">
        <v>41</v>
      </c>
      <c r="G3" s="27" t="s">
        <v>42</v>
      </c>
    </row>
    <row r="4" spans="1:7" x14ac:dyDescent="0.25">
      <c r="A4" s="29" t="s">
        <v>43</v>
      </c>
      <c r="B4" s="35">
        <v>46058</v>
      </c>
      <c r="C4" s="33" t="s">
        <v>39</v>
      </c>
      <c r="D4" s="29" t="s">
        <v>44</v>
      </c>
      <c r="E4" s="36">
        <v>800</v>
      </c>
      <c r="F4" s="29" t="s">
        <v>41</v>
      </c>
      <c r="G4" s="29" t="s">
        <v>45</v>
      </c>
    </row>
    <row r="5" spans="1:7" x14ac:dyDescent="0.25">
      <c r="A5" s="27" t="s">
        <v>46</v>
      </c>
      <c r="B5" s="32">
        <v>46054</v>
      </c>
      <c r="C5" s="37" t="s">
        <v>47</v>
      </c>
      <c r="D5" s="27" t="s">
        <v>48</v>
      </c>
      <c r="E5" s="38">
        <v>950</v>
      </c>
      <c r="F5" s="27" t="s">
        <v>41</v>
      </c>
      <c r="G5" s="27" t="s">
        <v>49</v>
      </c>
    </row>
    <row r="6" spans="1:7" x14ac:dyDescent="0.25">
      <c r="A6" s="29" t="s">
        <v>50</v>
      </c>
      <c r="B6" s="35">
        <v>46056</v>
      </c>
      <c r="C6" s="37" t="s">
        <v>47</v>
      </c>
      <c r="D6" s="29" t="s">
        <v>51</v>
      </c>
      <c r="E6" s="39">
        <v>67.5</v>
      </c>
      <c r="F6" s="29" t="s">
        <v>52</v>
      </c>
      <c r="G6" s="29" t="s">
        <v>53</v>
      </c>
    </row>
    <row r="7" spans="1:7" x14ac:dyDescent="0.25">
      <c r="A7" s="27" t="s">
        <v>54</v>
      </c>
      <c r="B7" s="32">
        <v>46057</v>
      </c>
      <c r="C7" s="37" t="s">
        <v>47</v>
      </c>
      <c r="D7" s="27" t="s">
        <v>55</v>
      </c>
      <c r="E7" s="38">
        <v>55</v>
      </c>
      <c r="F7" s="27" t="s">
        <v>56</v>
      </c>
      <c r="G7" s="27" t="s">
        <v>57</v>
      </c>
    </row>
    <row r="8" spans="1:7" x14ac:dyDescent="0.25">
      <c r="A8" s="29" t="s">
        <v>58</v>
      </c>
      <c r="B8" s="35">
        <v>46058</v>
      </c>
      <c r="C8" s="37" t="s">
        <v>47</v>
      </c>
      <c r="D8" s="29" t="s">
        <v>59</v>
      </c>
      <c r="E8" s="39">
        <v>12.99</v>
      </c>
      <c r="F8" s="29" t="s">
        <v>41</v>
      </c>
      <c r="G8" s="29" t="s">
        <v>60</v>
      </c>
    </row>
    <row r="9" spans="1:7" x14ac:dyDescent="0.25">
      <c r="A9" s="27" t="s">
        <v>61</v>
      </c>
      <c r="B9" s="32">
        <v>46059</v>
      </c>
      <c r="C9" s="37" t="s">
        <v>47</v>
      </c>
      <c r="D9" s="27" t="s">
        <v>62</v>
      </c>
      <c r="E9" s="38">
        <v>30</v>
      </c>
      <c r="F9" s="27" t="s">
        <v>41</v>
      </c>
      <c r="G9" s="27" t="s">
        <v>63</v>
      </c>
    </row>
    <row r="10" spans="1:7" x14ac:dyDescent="0.25">
      <c r="A10" s="29" t="s">
        <v>64</v>
      </c>
      <c r="B10" s="35">
        <v>46060</v>
      </c>
      <c r="C10" s="37" t="s">
        <v>47</v>
      </c>
      <c r="D10" s="29" t="s">
        <v>64</v>
      </c>
      <c r="E10" s="39">
        <v>45.8</v>
      </c>
      <c r="F10" s="29" t="s">
        <v>56</v>
      </c>
      <c r="G10" s="29" t="s">
        <v>65</v>
      </c>
    </row>
    <row r="11" spans="1:7" x14ac:dyDescent="0.25">
      <c r="A11" s="27" t="s">
        <v>66</v>
      </c>
      <c r="B11" s="32">
        <v>46061</v>
      </c>
      <c r="C11" s="37" t="s">
        <v>47</v>
      </c>
      <c r="D11" s="27" t="s">
        <v>67</v>
      </c>
      <c r="E11" s="38">
        <v>29.99</v>
      </c>
      <c r="F11" s="27" t="s">
        <v>56</v>
      </c>
      <c r="G11" s="27" t="s">
        <v>68</v>
      </c>
    </row>
    <row r="12" spans="1:7" x14ac:dyDescent="0.25">
      <c r="A12" s="29" t="s">
        <v>69</v>
      </c>
      <c r="B12" s="35">
        <v>46063</v>
      </c>
      <c r="C12" s="37" t="s">
        <v>47</v>
      </c>
      <c r="D12" s="29" t="s">
        <v>51</v>
      </c>
      <c r="E12" s="39">
        <v>43.2</v>
      </c>
      <c r="F12" s="29" t="s">
        <v>52</v>
      </c>
      <c r="G12" s="29" t="s">
        <v>70</v>
      </c>
    </row>
    <row r="13" spans="1:7" x14ac:dyDescent="0.25">
      <c r="A13" s="27" t="s">
        <v>71</v>
      </c>
      <c r="B13" s="32">
        <v>46064</v>
      </c>
      <c r="C13" s="37" t="s">
        <v>47</v>
      </c>
      <c r="D13" s="27" t="s">
        <v>72</v>
      </c>
      <c r="E13" s="38">
        <v>25</v>
      </c>
      <c r="F13" s="27" t="s">
        <v>56</v>
      </c>
      <c r="G13" s="27" t="s">
        <v>73</v>
      </c>
    </row>
    <row r="14" spans="1:7" x14ac:dyDescent="0.25">
      <c r="A14" s="29" t="s">
        <v>74</v>
      </c>
      <c r="B14" s="35">
        <v>46068</v>
      </c>
      <c r="C14" s="33" t="s">
        <v>39</v>
      </c>
      <c r="D14" s="29" t="s">
        <v>75</v>
      </c>
      <c r="E14" s="36">
        <v>120</v>
      </c>
      <c r="F14" s="29" t="s">
        <v>76</v>
      </c>
      <c r="G14" s="29" t="s">
        <v>77</v>
      </c>
    </row>
    <row r="15" spans="1:7" x14ac:dyDescent="0.25">
      <c r="A15" s="27"/>
      <c r="B15" s="32"/>
      <c r="C15" s="27"/>
      <c r="D15" s="27"/>
      <c r="E15" s="28"/>
      <c r="F15" s="27"/>
      <c r="G15" s="27"/>
    </row>
    <row r="16" spans="1:7" x14ac:dyDescent="0.25">
      <c r="A16" s="29"/>
      <c r="B16" s="35"/>
      <c r="C16" s="29"/>
      <c r="D16" s="29"/>
      <c r="E16" s="30"/>
      <c r="F16" s="29"/>
      <c r="G16" s="29"/>
    </row>
    <row r="17" spans="1:7" x14ac:dyDescent="0.25">
      <c r="A17" s="27"/>
      <c r="B17" s="32"/>
      <c r="C17" s="27"/>
      <c r="D17" s="27"/>
      <c r="E17" s="28"/>
      <c r="F17" s="27"/>
      <c r="G17" s="27"/>
    </row>
    <row r="18" spans="1:7" x14ac:dyDescent="0.25">
      <c r="A18" s="29"/>
      <c r="B18" s="35"/>
      <c r="C18" s="29"/>
      <c r="D18" s="29"/>
      <c r="E18" s="30"/>
      <c r="F18" s="29"/>
      <c r="G18" s="29"/>
    </row>
    <row r="19" spans="1:7" x14ac:dyDescent="0.25">
      <c r="A19" s="27"/>
      <c r="B19" s="32"/>
      <c r="C19" s="27"/>
      <c r="D19" s="27"/>
      <c r="E19" s="28"/>
      <c r="F19" s="27"/>
      <c r="G19" s="27"/>
    </row>
    <row r="20" spans="1:7" x14ac:dyDescent="0.25">
      <c r="A20" s="29"/>
      <c r="B20" s="35"/>
      <c r="C20" s="29"/>
      <c r="D20" s="29"/>
      <c r="E20" s="30"/>
      <c r="F20" s="29"/>
      <c r="G20" s="29"/>
    </row>
    <row r="21" spans="1:7" x14ac:dyDescent="0.25">
      <c r="A21" s="27"/>
      <c r="B21" s="32"/>
      <c r="C21" s="27"/>
      <c r="D21" s="27"/>
      <c r="E21" s="28"/>
      <c r="F21" s="27"/>
      <c r="G21" s="27"/>
    </row>
    <row r="22" spans="1:7" x14ac:dyDescent="0.25">
      <c r="A22" s="29"/>
      <c r="B22" s="35"/>
      <c r="C22" s="29"/>
      <c r="D22" s="29"/>
      <c r="E22" s="30"/>
      <c r="F22" s="29"/>
      <c r="G22" s="29"/>
    </row>
    <row r="23" spans="1:7" x14ac:dyDescent="0.25">
      <c r="A23" s="27"/>
      <c r="B23" s="32"/>
      <c r="C23" s="27"/>
      <c r="D23" s="27"/>
      <c r="E23" s="28"/>
      <c r="F23" s="27"/>
      <c r="G23" s="27"/>
    </row>
    <row r="24" spans="1:7" x14ac:dyDescent="0.25">
      <c r="A24" s="29"/>
      <c r="B24" s="35"/>
      <c r="C24" s="29"/>
      <c r="D24" s="29"/>
      <c r="E24" s="30"/>
      <c r="F24" s="29"/>
      <c r="G24" s="29"/>
    </row>
    <row r="25" spans="1:7" x14ac:dyDescent="0.25">
      <c r="A25" s="27"/>
      <c r="B25" s="32"/>
      <c r="C25" s="27"/>
      <c r="D25" s="27"/>
      <c r="E25" s="28"/>
      <c r="F25" s="27"/>
      <c r="G25" s="27"/>
    </row>
    <row r="26" spans="1:7" x14ac:dyDescent="0.25">
      <c r="A26" s="29"/>
      <c r="B26" s="35"/>
      <c r="C26" s="29"/>
      <c r="D26" s="29"/>
      <c r="E26" s="30"/>
      <c r="F26" s="29"/>
      <c r="G26" s="29"/>
    </row>
    <row r="27" spans="1:7" x14ac:dyDescent="0.25">
      <c r="A27" s="27"/>
      <c r="B27" s="32"/>
      <c r="C27" s="27"/>
      <c r="D27" s="27"/>
      <c r="E27" s="28"/>
      <c r="F27" s="27"/>
      <c r="G27" s="27"/>
    </row>
    <row r="28" spans="1:7" x14ac:dyDescent="0.25">
      <c r="A28" s="29"/>
      <c r="B28" s="35"/>
      <c r="C28" s="29"/>
      <c r="D28" s="29"/>
      <c r="E28" s="30"/>
      <c r="F28" s="29"/>
      <c r="G28" s="29"/>
    </row>
    <row r="29" spans="1:7" x14ac:dyDescent="0.25">
      <c r="A29" s="27"/>
      <c r="B29" s="32"/>
      <c r="C29" s="27"/>
      <c r="D29" s="27"/>
      <c r="E29" s="28"/>
      <c r="F29" s="27"/>
      <c r="G29" s="27"/>
    </row>
    <row r="30" spans="1:7" x14ac:dyDescent="0.25">
      <c r="A30" s="29"/>
      <c r="B30" s="35"/>
      <c r="C30" s="29"/>
      <c r="D30" s="29"/>
      <c r="E30" s="30"/>
      <c r="F30" s="29"/>
      <c r="G30" s="29"/>
    </row>
    <row r="31" spans="1:7" x14ac:dyDescent="0.25">
      <c r="A31" s="27"/>
      <c r="B31" s="32"/>
      <c r="C31" s="27"/>
      <c r="D31" s="27"/>
      <c r="E31" s="28"/>
      <c r="F31" s="27"/>
      <c r="G31" s="27"/>
    </row>
    <row r="32" spans="1:7" x14ac:dyDescent="0.25">
      <c r="A32" s="29"/>
      <c r="B32" s="35"/>
      <c r="C32" s="29"/>
      <c r="D32" s="29"/>
      <c r="E32" s="30"/>
      <c r="F32" s="29"/>
      <c r="G32" s="29"/>
    </row>
    <row r="33" spans="1:7" x14ac:dyDescent="0.25">
      <c r="A33" s="27"/>
      <c r="B33" s="32"/>
      <c r="C33" s="27"/>
      <c r="D33" s="27"/>
      <c r="E33" s="28"/>
      <c r="F33" s="27"/>
      <c r="G33" s="27"/>
    </row>
    <row r="34" spans="1:7" x14ac:dyDescent="0.25">
      <c r="A34" s="29"/>
      <c r="B34" s="35"/>
      <c r="C34" s="29"/>
      <c r="D34" s="29"/>
      <c r="E34" s="30"/>
      <c r="F34" s="29"/>
      <c r="G34" s="29"/>
    </row>
    <row r="35" spans="1:7" x14ac:dyDescent="0.25">
      <c r="A35" s="27"/>
      <c r="B35" s="32"/>
      <c r="C35" s="27"/>
      <c r="D35" s="27"/>
      <c r="E35" s="28"/>
      <c r="F35" s="27"/>
      <c r="G35" s="27"/>
    </row>
    <row r="36" spans="1:7" x14ac:dyDescent="0.25">
      <c r="A36" s="29"/>
      <c r="B36" s="35"/>
      <c r="C36" s="29"/>
      <c r="D36" s="29"/>
      <c r="E36" s="30"/>
      <c r="F36" s="29"/>
      <c r="G36" s="29"/>
    </row>
    <row r="37" spans="1:7" x14ac:dyDescent="0.25">
      <c r="A37" s="27"/>
      <c r="B37" s="32"/>
      <c r="C37" s="27"/>
      <c r="D37" s="27"/>
      <c r="E37" s="28"/>
      <c r="F37" s="27"/>
      <c r="G37" s="27"/>
    </row>
    <row r="38" spans="1:7" x14ac:dyDescent="0.25">
      <c r="A38" s="29"/>
      <c r="B38" s="35"/>
      <c r="C38" s="29"/>
      <c r="D38" s="29"/>
      <c r="E38" s="30"/>
      <c r="F38" s="29"/>
      <c r="G38" s="29"/>
    </row>
    <row r="39" spans="1:7" x14ac:dyDescent="0.25">
      <c r="A39" s="27"/>
      <c r="B39" s="32"/>
      <c r="C39" s="27"/>
      <c r="D39" s="27"/>
      <c r="E39" s="28"/>
      <c r="F39" s="27"/>
      <c r="G39" s="27"/>
    </row>
    <row r="40" spans="1:7" x14ac:dyDescent="0.25">
      <c r="A40" s="29"/>
      <c r="B40" s="35"/>
      <c r="C40" s="29"/>
      <c r="D40" s="29"/>
      <c r="E40" s="30"/>
      <c r="F40" s="29"/>
      <c r="G40" s="29"/>
    </row>
    <row r="41" spans="1:7" x14ac:dyDescent="0.25">
      <c r="A41" s="27"/>
      <c r="B41" s="32"/>
      <c r="C41" s="27"/>
      <c r="D41" s="27"/>
      <c r="E41" s="28"/>
      <c r="F41" s="27"/>
      <c r="G41" s="27"/>
    </row>
    <row r="42" spans="1:7" x14ac:dyDescent="0.25">
      <c r="A42" s="29"/>
      <c r="B42" s="35"/>
      <c r="C42" s="29"/>
      <c r="D42" s="29"/>
      <c r="E42" s="30"/>
      <c r="F42" s="29"/>
      <c r="G42" s="29"/>
    </row>
    <row r="43" spans="1:7" x14ac:dyDescent="0.25">
      <c r="A43" s="27"/>
      <c r="B43" s="32"/>
      <c r="C43" s="27"/>
      <c r="D43" s="27"/>
      <c r="E43" s="28"/>
      <c r="F43" s="27"/>
      <c r="G43" s="27"/>
    </row>
    <row r="44" spans="1:7" x14ac:dyDescent="0.25">
      <c r="A44" s="29"/>
      <c r="B44" s="35"/>
      <c r="C44" s="29"/>
      <c r="D44" s="29"/>
      <c r="E44" s="30"/>
      <c r="F44" s="29"/>
      <c r="G44" s="29"/>
    </row>
    <row r="45" spans="1:7" x14ac:dyDescent="0.25">
      <c r="A45" s="27"/>
      <c r="B45" s="32"/>
      <c r="C45" s="27"/>
      <c r="D45" s="27"/>
      <c r="E45" s="28"/>
      <c r="F45" s="27"/>
      <c r="G45" s="27"/>
    </row>
    <row r="46" spans="1:7" x14ac:dyDescent="0.25">
      <c r="A46" s="29"/>
      <c r="B46" s="35"/>
      <c r="C46" s="29"/>
      <c r="D46" s="29"/>
      <c r="E46" s="30"/>
      <c r="F46" s="29"/>
      <c r="G46" s="29"/>
    </row>
    <row r="47" spans="1:7" x14ac:dyDescent="0.25">
      <c r="A47" s="27"/>
      <c r="B47" s="32"/>
      <c r="C47" s="27"/>
      <c r="D47" s="27"/>
      <c r="E47" s="28"/>
      <c r="F47" s="27"/>
      <c r="G47" s="27"/>
    </row>
    <row r="48" spans="1:7" x14ac:dyDescent="0.25">
      <c r="A48" s="29"/>
      <c r="B48" s="35"/>
      <c r="C48" s="29"/>
      <c r="D48" s="29"/>
      <c r="E48" s="30"/>
      <c r="F48" s="29"/>
      <c r="G48" s="29"/>
    </row>
    <row r="49" spans="1:7" x14ac:dyDescent="0.25">
      <c r="A49" s="27"/>
      <c r="B49" s="32"/>
      <c r="C49" s="27"/>
      <c r="D49" s="27"/>
      <c r="E49" s="28"/>
      <c r="F49" s="27"/>
      <c r="G49" s="27"/>
    </row>
    <row r="50" spans="1:7" x14ac:dyDescent="0.25">
      <c r="A50" s="29"/>
      <c r="B50" s="35"/>
      <c r="C50" s="29"/>
      <c r="D50" s="29"/>
      <c r="E50" s="30"/>
      <c r="F50" s="29"/>
      <c r="G50" s="29"/>
    </row>
    <row r="51" spans="1:7" x14ac:dyDescent="0.25">
      <c r="A51" s="27"/>
      <c r="B51" s="32"/>
      <c r="C51" s="27"/>
      <c r="D51" s="27"/>
      <c r="E51" s="28"/>
      <c r="F51" s="27"/>
      <c r="G51" s="27"/>
    </row>
    <row r="52" spans="1:7" x14ac:dyDescent="0.25">
      <c r="A52" s="29"/>
      <c r="B52" s="35"/>
      <c r="C52" s="29"/>
      <c r="D52" s="29"/>
      <c r="E52" s="30"/>
      <c r="F52" s="29"/>
      <c r="G52" s="29"/>
    </row>
    <row r="53" spans="1:7" x14ac:dyDescent="0.25">
      <c r="A53" s="27"/>
      <c r="B53" s="32"/>
      <c r="C53" s="27"/>
      <c r="D53" s="27"/>
      <c r="E53" s="28"/>
      <c r="F53" s="27"/>
      <c r="G53" s="27"/>
    </row>
    <row r="54" spans="1:7" x14ac:dyDescent="0.25">
      <c r="A54" s="29"/>
      <c r="B54" s="35"/>
      <c r="C54" s="29"/>
      <c r="D54" s="29"/>
      <c r="E54" s="30"/>
      <c r="F54" s="29"/>
      <c r="G54" s="29"/>
    </row>
    <row r="55" spans="1:7" x14ac:dyDescent="0.25">
      <c r="A55" s="27"/>
      <c r="B55" s="32"/>
      <c r="C55" s="27"/>
      <c r="D55" s="27"/>
      <c r="E55" s="28"/>
      <c r="F55" s="27"/>
      <c r="G55" s="27"/>
    </row>
    <row r="56" spans="1:7" x14ac:dyDescent="0.25">
      <c r="A56" s="29"/>
      <c r="B56" s="35"/>
      <c r="C56" s="29"/>
      <c r="D56" s="29"/>
      <c r="E56" s="30"/>
      <c r="F56" s="29"/>
      <c r="G56" s="29"/>
    </row>
    <row r="57" spans="1:7" x14ac:dyDescent="0.25">
      <c r="A57" s="27"/>
      <c r="B57" s="32"/>
      <c r="C57" s="27"/>
      <c r="D57" s="27"/>
      <c r="E57" s="28"/>
      <c r="F57" s="27"/>
      <c r="G57" s="27"/>
    </row>
    <row r="58" spans="1:7" x14ac:dyDescent="0.25">
      <c r="A58" s="29"/>
      <c r="B58" s="35"/>
      <c r="C58" s="29"/>
      <c r="D58" s="29"/>
      <c r="E58" s="30"/>
      <c r="F58" s="29"/>
      <c r="G58" s="29"/>
    </row>
    <row r="59" spans="1:7" x14ac:dyDescent="0.25">
      <c r="A59" s="27"/>
      <c r="B59" s="32"/>
      <c r="C59" s="27"/>
      <c r="D59" s="27"/>
      <c r="E59" s="28"/>
      <c r="F59" s="27"/>
      <c r="G59" s="27"/>
    </row>
    <row r="60" spans="1:7" x14ac:dyDescent="0.25">
      <c r="A60" s="29"/>
      <c r="B60" s="35"/>
      <c r="C60" s="29"/>
      <c r="D60" s="29"/>
      <c r="E60" s="30"/>
      <c r="F60" s="29"/>
      <c r="G60" s="29"/>
    </row>
    <row r="61" spans="1:7" x14ac:dyDescent="0.25">
      <c r="A61" s="27"/>
      <c r="B61" s="32"/>
      <c r="C61" s="27"/>
      <c r="D61" s="27"/>
      <c r="E61" s="28"/>
      <c r="F61" s="27"/>
      <c r="G61" s="27"/>
    </row>
    <row r="62" spans="1:7" x14ac:dyDescent="0.25">
      <c r="A62" s="29"/>
      <c r="B62" s="35"/>
      <c r="C62" s="29"/>
      <c r="D62" s="29"/>
      <c r="E62" s="30"/>
      <c r="F62" s="29"/>
      <c r="G62" s="29"/>
    </row>
    <row r="63" spans="1:7" x14ac:dyDescent="0.25">
      <c r="A63" s="27"/>
      <c r="B63" s="32"/>
      <c r="C63" s="27"/>
      <c r="D63" s="27"/>
      <c r="E63" s="28"/>
      <c r="F63" s="27"/>
      <c r="G63" s="27"/>
    </row>
    <row r="64" spans="1:7" x14ac:dyDescent="0.25">
      <c r="A64" s="29"/>
      <c r="B64" s="35"/>
      <c r="C64" s="29"/>
      <c r="D64" s="29"/>
      <c r="E64" s="30"/>
      <c r="F64" s="29"/>
      <c r="G64" s="29"/>
    </row>
    <row r="65" spans="1:7" x14ac:dyDescent="0.25">
      <c r="A65" s="27"/>
      <c r="B65" s="32"/>
      <c r="C65" s="27"/>
      <c r="D65" s="27"/>
      <c r="E65" s="28"/>
      <c r="F65" s="27"/>
      <c r="G65" s="27"/>
    </row>
    <row r="66" spans="1:7" x14ac:dyDescent="0.25">
      <c r="A66" s="29"/>
      <c r="B66" s="35"/>
      <c r="C66" s="29"/>
      <c r="D66" s="29"/>
      <c r="E66" s="30"/>
      <c r="F66" s="29"/>
      <c r="G66" s="29"/>
    </row>
    <row r="67" spans="1:7" x14ac:dyDescent="0.25">
      <c r="A67" s="27"/>
      <c r="B67" s="32"/>
      <c r="C67" s="27"/>
      <c r="D67" s="27"/>
      <c r="E67" s="28"/>
      <c r="F67" s="27"/>
      <c r="G67" s="27"/>
    </row>
    <row r="68" spans="1:7" x14ac:dyDescent="0.25">
      <c r="A68" s="29"/>
      <c r="B68" s="35"/>
      <c r="C68" s="29"/>
      <c r="D68" s="29"/>
      <c r="E68" s="30"/>
      <c r="F68" s="29"/>
      <c r="G68" s="29"/>
    </row>
    <row r="69" spans="1:7" x14ac:dyDescent="0.25">
      <c r="A69" s="27"/>
      <c r="B69" s="32"/>
      <c r="C69" s="27"/>
      <c r="D69" s="27"/>
      <c r="E69" s="28"/>
      <c r="F69" s="27"/>
      <c r="G69" s="27"/>
    </row>
    <row r="70" spans="1:7" x14ac:dyDescent="0.25">
      <c r="A70" s="29"/>
      <c r="B70" s="35"/>
      <c r="C70" s="29"/>
      <c r="D70" s="29"/>
      <c r="E70" s="30"/>
      <c r="F70" s="29"/>
      <c r="G70" s="29"/>
    </row>
    <row r="71" spans="1:7" x14ac:dyDescent="0.25">
      <c r="A71" s="27"/>
      <c r="B71" s="32"/>
      <c r="C71" s="27"/>
      <c r="D71" s="27"/>
      <c r="E71" s="28"/>
      <c r="F71" s="27"/>
      <c r="G71" s="27"/>
    </row>
    <row r="72" spans="1:7" x14ac:dyDescent="0.25">
      <c r="A72" s="29"/>
      <c r="B72" s="35"/>
      <c r="C72" s="29"/>
      <c r="D72" s="29"/>
      <c r="E72" s="30"/>
      <c r="F72" s="29"/>
      <c r="G72" s="29"/>
    </row>
    <row r="73" spans="1:7" x14ac:dyDescent="0.25">
      <c r="A73" s="27"/>
      <c r="B73" s="32"/>
      <c r="C73" s="27"/>
      <c r="D73" s="27"/>
      <c r="E73" s="28"/>
      <c r="F73" s="27"/>
      <c r="G73" s="27"/>
    </row>
    <row r="74" spans="1:7" x14ac:dyDescent="0.25">
      <c r="A74" s="29"/>
      <c r="B74" s="35"/>
      <c r="C74" s="29"/>
      <c r="D74" s="29"/>
      <c r="E74" s="30"/>
      <c r="F74" s="29"/>
      <c r="G74" s="29"/>
    </row>
    <row r="75" spans="1:7" x14ac:dyDescent="0.25">
      <c r="A75" s="27"/>
      <c r="B75" s="32"/>
      <c r="C75" s="27"/>
      <c r="D75" s="27"/>
      <c r="E75" s="28"/>
      <c r="F75" s="27"/>
      <c r="G75" s="27"/>
    </row>
    <row r="76" spans="1:7" x14ac:dyDescent="0.25">
      <c r="A76" s="29"/>
      <c r="B76" s="35"/>
      <c r="C76" s="29"/>
      <c r="D76" s="29"/>
      <c r="E76" s="30"/>
      <c r="F76" s="29"/>
      <c r="G76" s="29"/>
    </row>
    <row r="77" spans="1:7" x14ac:dyDescent="0.25">
      <c r="A77" s="27"/>
      <c r="B77" s="32"/>
      <c r="C77" s="27"/>
      <c r="D77" s="27"/>
      <c r="E77" s="28"/>
      <c r="F77" s="27"/>
      <c r="G77" s="27"/>
    </row>
    <row r="78" spans="1:7" x14ac:dyDescent="0.25">
      <c r="A78" s="29"/>
      <c r="B78" s="35"/>
      <c r="C78" s="29"/>
      <c r="D78" s="29"/>
      <c r="E78" s="30"/>
      <c r="F78" s="29"/>
      <c r="G78" s="29"/>
    </row>
    <row r="79" spans="1:7" x14ac:dyDescent="0.25">
      <c r="A79" s="27"/>
      <c r="B79" s="32"/>
      <c r="C79" s="27"/>
      <c r="D79" s="27"/>
      <c r="E79" s="28"/>
      <c r="F79" s="27"/>
      <c r="G79" s="27"/>
    </row>
    <row r="80" spans="1:7" x14ac:dyDescent="0.25">
      <c r="A80" s="29"/>
      <c r="B80" s="35"/>
      <c r="C80" s="29"/>
      <c r="D80" s="29"/>
      <c r="E80" s="30"/>
      <c r="F80" s="29"/>
      <c r="G80" s="29"/>
    </row>
    <row r="81" spans="1:7" x14ac:dyDescent="0.25">
      <c r="A81" s="27"/>
      <c r="B81" s="32"/>
      <c r="C81" s="27"/>
      <c r="D81" s="27"/>
      <c r="E81" s="28"/>
      <c r="F81" s="27"/>
      <c r="G81" s="27"/>
    </row>
    <row r="82" spans="1:7" x14ac:dyDescent="0.25">
      <c r="A82" s="29"/>
      <c r="B82" s="35"/>
      <c r="C82" s="29"/>
      <c r="D82" s="29"/>
      <c r="E82" s="30"/>
      <c r="F82" s="29"/>
      <c r="G82" s="29"/>
    </row>
    <row r="83" spans="1:7" x14ac:dyDescent="0.25">
      <c r="A83" s="27"/>
      <c r="B83" s="32"/>
      <c r="C83" s="27"/>
      <c r="D83" s="27"/>
      <c r="E83" s="28"/>
      <c r="F83" s="27"/>
      <c r="G83" s="27"/>
    </row>
    <row r="84" spans="1:7" x14ac:dyDescent="0.25">
      <c r="A84" s="29"/>
      <c r="B84" s="35"/>
      <c r="C84" s="29"/>
      <c r="D84" s="29"/>
      <c r="E84" s="30"/>
      <c r="F84" s="29"/>
      <c r="G84" s="29"/>
    </row>
    <row r="85" spans="1:7" x14ac:dyDescent="0.25">
      <c r="A85" s="27"/>
      <c r="B85" s="32"/>
      <c r="C85" s="27"/>
      <c r="D85" s="27"/>
      <c r="E85" s="28"/>
      <c r="F85" s="27"/>
      <c r="G85" s="27"/>
    </row>
    <row r="86" spans="1:7" x14ac:dyDescent="0.25">
      <c r="A86" s="29"/>
      <c r="B86" s="35"/>
      <c r="C86" s="29"/>
      <c r="D86" s="29"/>
      <c r="E86" s="30"/>
      <c r="F86" s="29"/>
      <c r="G86" s="29"/>
    </row>
    <row r="87" spans="1:7" x14ac:dyDescent="0.25">
      <c r="A87" s="27"/>
      <c r="B87" s="32"/>
      <c r="C87" s="27"/>
      <c r="D87" s="27"/>
      <c r="E87" s="28"/>
      <c r="F87" s="27"/>
      <c r="G87" s="27"/>
    </row>
    <row r="88" spans="1:7" x14ac:dyDescent="0.25">
      <c r="A88" s="29"/>
      <c r="B88" s="35"/>
      <c r="C88" s="29"/>
      <c r="D88" s="29"/>
      <c r="E88" s="30"/>
      <c r="F88" s="29"/>
      <c r="G88" s="29"/>
    </row>
    <row r="89" spans="1:7" x14ac:dyDescent="0.25">
      <c r="A89" s="27"/>
      <c r="B89" s="32"/>
      <c r="C89" s="27"/>
      <c r="D89" s="27"/>
      <c r="E89" s="28"/>
      <c r="F89" s="27"/>
      <c r="G89" s="27"/>
    </row>
    <row r="90" spans="1:7" x14ac:dyDescent="0.25">
      <c r="A90" s="29"/>
      <c r="B90" s="35"/>
      <c r="C90" s="29"/>
      <c r="D90" s="29"/>
      <c r="E90" s="30"/>
      <c r="F90" s="29"/>
      <c r="G90" s="29"/>
    </row>
    <row r="91" spans="1:7" x14ac:dyDescent="0.25">
      <c r="A91" s="27"/>
      <c r="B91" s="32"/>
      <c r="C91" s="27"/>
      <c r="D91" s="27"/>
      <c r="E91" s="28"/>
      <c r="F91" s="27"/>
      <c r="G91" s="27"/>
    </row>
    <row r="92" spans="1:7" x14ac:dyDescent="0.25">
      <c r="A92" s="29"/>
      <c r="B92" s="35"/>
      <c r="C92" s="29"/>
      <c r="D92" s="29"/>
      <c r="E92" s="30"/>
      <c r="F92" s="29"/>
      <c r="G92" s="29"/>
    </row>
    <row r="93" spans="1:7" x14ac:dyDescent="0.25">
      <c r="A93" s="27"/>
      <c r="B93" s="32"/>
      <c r="C93" s="27"/>
      <c r="D93" s="27"/>
      <c r="E93" s="28"/>
      <c r="F93" s="27"/>
      <c r="G93" s="27"/>
    </row>
    <row r="94" spans="1:7" x14ac:dyDescent="0.25">
      <c r="A94" s="29"/>
      <c r="B94" s="35"/>
      <c r="C94" s="29"/>
      <c r="D94" s="29"/>
      <c r="E94" s="30"/>
      <c r="F94" s="29"/>
      <c r="G94" s="29"/>
    </row>
    <row r="95" spans="1:7" x14ac:dyDescent="0.25">
      <c r="A95" s="27"/>
      <c r="B95" s="32"/>
      <c r="C95" s="27"/>
      <c r="D95" s="27"/>
      <c r="E95" s="28"/>
      <c r="F95" s="27"/>
      <c r="G95" s="27"/>
    </row>
    <row r="96" spans="1:7" x14ac:dyDescent="0.25">
      <c r="A96" s="29"/>
      <c r="B96" s="35"/>
      <c r="C96" s="29"/>
      <c r="D96" s="29"/>
      <c r="E96" s="30"/>
      <c r="F96" s="29"/>
      <c r="G96" s="29"/>
    </row>
    <row r="97" spans="1:7" x14ac:dyDescent="0.25">
      <c r="A97" s="27"/>
      <c r="B97" s="32"/>
      <c r="C97" s="27"/>
      <c r="D97" s="27"/>
      <c r="E97" s="28"/>
      <c r="F97" s="27"/>
      <c r="G97" s="27"/>
    </row>
    <row r="98" spans="1:7" x14ac:dyDescent="0.25">
      <c r="A98" s="29"/>
      <c r="B98" s="35"/>
      <c r="C98" s="29"/>
      <c r="D98" s="29"/>
      <c r="E98" s="30"/>
      <c r="F98" s="29"/>
      <c r="G98" s="29"/>
    </row>
    <row r="99" spans="1:7" x14ac:dyDescent="0.25">
      <c r="A99" s="27"/>
      <c r="B99" s="32"/>
      <c r="C99" s="27"/>
      <c r="D99" s="27"/>
      <c r="E99" s="28"/>
      <c r="F99" s="27"/>
      <c r="G99" s="27"/>
    </row>
    <row r="100" spans="1:7" x14ac:dyDescent="0.25">
      <c r="A100" s="29"/>
      <c r="B100" s="35"/>
      <c r="C100" s="29"/>
      <c r="D100" s="29"/>
      <c r="E100" s="30"/>
      <c r="F100" s="29"/>
      <c r="G100" s="29"/>
    </row>
    <row r="101" spans="1:7" x14ac:dyDescent="0.25">
      <c r="A101" s="27"/>
      <c r="B101" s="32"/>
      <c r="C101" s="27"/>
      <c r="D101" s="27"/>
      <c r="E101" s="28"/>
      <c r="F101" s="27"/>
      <c r="G101" s="27"/>
    </row>
    <row r="102" spans="1:7" x14ac:dyDescent="0.25">
      <c r="A102" s="29"/>
      <c r="B102" s="35"/>
      <c r="C102" s="29"/>
      <c r="D102" s="29"/>
      <c r="E102" s="30"/>
      <c r="F102" s="29"/>
      <c r="G102" s="29"/>
    </row>
    <row r="103" ht="5" customHeight="1" x14ac:dyDescent="0.25"/>
    <row r="104" ht="28" customHeight="1" spans="1:5" x14ac:dyDescent="0.25">
      <c r="A104" s="40" t="s">
        <v>78</v>
      </c>
      <c r="B104" s="40"/>
      <c r="C104" s="40"/>
      <c r="D104" s="40"/>
      <c r="E104" s="41">
        <f>SUM(E3:E102)</f>
      </c>
    </row>
  </sheetData>
  <autoFilter ref="A2:G102"/>
  <mergeCells count="2">
    <mergeCell ref="A1:G1"/>
    <mergeCell ref="A104:D104"/>
  </mergeCells>
  <dataValidations count="6">
    <dataValidation type="list" allowBlank="1" showErrorMessage="1" errorTitle="Ungültiger Typ" error="Bitte wähle Einnahme oder Ausgabe" sqref="C10:C102">
      <formula1>"Einnahme,Ausgabe"</formula1>
    </dataValidation>
    <dataValidation type="list" allowBlank="1" showErrorMessage="1" errorTitle="Ungültiger Typ" error="Bitte wähle Einnahme oder Ausgabe" sqref="C3:C102">
      <formula1>"Einnahme,Ausgabe"</formula1>
    </dataValidation>
    <dataValidation type="list" allowBlank="1" showErrorMessage="1" errorTitle="Ungültige Kategorie" error="Bitte wähle eine Kategorie aus der Liste" sqref="D10:D102">
      <formula1>Kategorien!$A$3:$A$20</formula1>
    </dataValidation>
    <dataValidation type="list" allowBlank="1" showErrorMessage="1" errorTitle="Ungültige Kategorie" error="Bitte wähle eine Kategorie aus der Liste" sqref="D3:D102">
      <formula1>Kategorien!$A$3:$A$20</formula1>
    </dataValidation>
    <dataValidation type="list" allowBlank="1" showErrorMessage="1" errorTitle="Ungültiges Konto" error="Bitte wähle ein Konto aus der Liste" sqref="F10:F102">
      <formula1>Konten!$A$3:$A$12</formula1>
    </dataValidation>
    <dataValidation type="list" allowBlank="1" showErrorMessage="1" errorTitle="Ungültiges Konto" error="Bitte wähle ein Konto aus der Liste" sqref="F3:F102">
      <formula1>Konten!$A$3:$A$12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EA580C"/>
  </sheetPr>
  <dimension ref="A1:D20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2" customWidth="1"/>
  </cols>
  <sheetData>
    <row r="1" ht="35" customHeight="1" spans="1:4" x14ac:dyDescent="0.25">
      <c r="A1" s="42" t="s">
        <v>79</v>
      </c>
      <c r="B1" s="42"/>
      <c r="C1" s="42"/>
      <c r="D1" s="42"/>
    </row>
    <row r="2" ht="30" customHeight="1" spans="1:4" x14ac:dyDescent="0.25">
      <c r="A2" s="12" t="s">
        <v>26</v>
      </c>
      <c r="B2" s="12" t="s">
        <v>34</v>
      </c>
      <c r="C2" s="12" t="s">
        <v>80</v>
      </c>
      <c r="D2" s="12" t="s">
        <v>81</v>
      </c>
    </row>
    <row r="3" spans="1:4" x14ac:dyDescent="0.25">
      <c r="A3" s="27" t="s">
        <v>40</v>
      </c>
      <c r="B3" s="43" t="s">
        <v>39</v>
      </c>
      <c r="C3" s="28">
        <v>0</v>
      </c>
      <c r="D3" s="27" t="s">
        <v>82</v>
      </c>
    </row>
    <row r="4" spans="1:4" x14ac:dyDescent="0.25">
      <c r="A4" s="29" t="s">
        <v>44</v>
      </c>
      <c r="B4" s="44" t="s">
        <v>39</v>
      </c>
      <c r="C4" s="30">
        <v>0</v>
      </c>
      <c r="D4" s="29" t="s">
        <v>83</v>
      </c>
    </row>
    <row r="5" spans="1:4" x14ac:dyDescent="0.25">
      <c r="A5" s="27" t="s">
        <v>75</v>
      </c>
      <c r="B5" s="43" t="s">
        <v>39</v>
      </c>
      <c r="C5" s="28">
        <v>0</v>
      </c>
      <c r="D5" s="27" t="s">
        <v>84</v>
      </c>
    </row>
    <row r="6" spans="1:4" x14ac:dyDescent="0.25">
      <c r="A6" s="29" t="s">
        <v>85</v>
      </c>
      <c r="B6" s="44" t="s">
        <v>39</v>
      </c>
      <c r="C6" s="30">
        <v>0</v>
      </c>
      <c r="D6" s="29" t="s">
        <v>86</v>
      </c>
    </row>
    <row r="7" spans="1:4" x14ac:dyDescent="0.25">
      <c r="A7" s="27" t="s">
        <v>51</v>
      </c>
      <c r="B7" s="45" t="s">
        <v>47</v>
      </c>
      <c r="C7" s="28">
        <v>400</v>
      </c>
      <c r="D7" s="27" t="s">
        <v>87</v>
      </c>
    </row>
    <row r="8" spans="1:4" x14ac:dyDescent="0.25">
      <c r="A8" s="29" t="s">
        <v>55</v>
      </c>
      <c r="B8" s="46" t="s">
        <v>47</v>
      </c>
      <c r="C8" s="30">
        <v>150</v>
      </c>
      <c r="D8" s="29" t="s">
        <v>88</v>
      </c>
    </row>
    <row r="9" spans="1:4" x14ac:dyDescent="0.25">
      <c r="A9" s="27" t="s">
        <v>48</v>
      </c>
      <c r="B9" s="45" t="s">
        <v>47</v>
      </c>
      <c r="C9" s="28">
        <v>1000</v>
      </c>
      <c r="D9" s="27" t="s">
        <v>89</v>
      </c>
    </row>
    <row r="10" spans="1:4" x14ac:dyDescent="0.25">
      <c r="A10" s="29" t="s">
        <v>59</v>
      </c>
      <c r="B10" s="46" t="s">
        <v>47</v>
      </c>
      <c r="C10" s="30">
        <v>100</v>
      </c>
      <c r="D10" s="29" t="s">
        <v>90</v>
      </c>
    </row>
    <row r="11" spans="1:4" x14ac:dyDescent="0.25">
      <c r="A11" s="27" t="s">
        <v>62</v>
      </c>
      <c r="B11" s="45" t="s">
        <v>47</v>
      </c>
      <c r="C11" s="28">
        <v>50</v>
      </c>
      <c r="D11" s="27" t="s">
        <v>91</v>
      </c>
    </row>
    <row r="12" spans="1:4" x14ac:dyDescent="0.25">
      <c r="A12" s="29" t="s">
        <v>67</v>
      </c>
      <c r="B12" s="46" t="s">
        <v>47</v>
      </c>
      <c r="C12" s="30">
        <v>50</v>
      </c>
      <c r="D12" s="29" t="s">
        <v>92</v>
      </c>
    </row>
    <row r="13" spans="1:4" x14ac:dyDescent="0.25">
      <c r="A13" s="27" t="s">
        <v>72</v>
      </c>
      <c r="B13" s="45" t="s">
        <v>47</v>
      </c>
      <c r="C13" s="28">
        <v>80</v>
      </c>
      <c r="D13" s="27" t="s">
        <v>93</v>
      </c>
    </row>
    <row r="14" spans="1:4" x14ac:dyDescent="0.25">
      <c r="A14" s="29" t="s">
        <v>64</v>
      </c>
      <c r="B14" s="46" t="s">
        <v>47</v>
      </c>
      <c r="C14" s="30">
        <v>100</v>
      </c>
      <c r="D14" s="29" t="s">
        <v>84</v>
      </c>
    </row>
    <row r="15" spans="1:4" x14ac:dyDescent="0.25">
      <c r="A15" s="27"/>
      <c r="B15" s="27"/>
      <c r="C15" s="28"/>
      <c r="D15" s="27"/>
    </row>
    <row r="16" spans="1:4" x14ac:dyDescent="0.25">
      <c r="A16" s="29"/>
      <c r="B16" s="29"/>
      <c r="C16" s="30"/>
      <c r="D16" s="29"/>
    </row>
    <row r="17" spans="1:4" x14ac:dyDescent="0.25">
      <c r="A17" s="27"/>
      <c r="B17" s="27"/>
      <c r="C17" s="28"/>
      <c r="D17" s="27"/>
    </row>
    <row r="18" spans="1:4" x14ac:dyDescent="0.25">
      <c r="A18" s="29"/>
      <c r="B18" s="29"/>
      <c r="C18" s="30"/>
      <c r="D18" s="29"/>
    </row>
    <row r="19" spans="1:4" x14ac:dyDescent="0.25">
      <c r="A19" s="27"/>
      <c r="B19" s="27"/>
      <c r="C19" s="28"/>
      <c r="D19" s="27"/>
    </row>
    <row r="20" spans="1:4" x14ac:dyDescent="0.25">
      <c r="A20" s="29"/>
      <c r="B20" s="29"/>
      <c r="C20" s="30"/>
      <c r="D20" s="29"/>
    </row>
  </sheetData>
  <mergeCells count="1">
    <mergeCell ref="A1:D1"/>
  </mergeCells>
  <dataValidations count="2">
    <dataValidation type="list" allowBlank="1" sqref="B10:B20">
      <formula1>"Einnahme,Ausgabe"</formula1>
    </dataValidation>
    <dataValidation type="list" allowBlank="1" sqref="B3:B20">
      <formula1>"Einnahme,Ausgabe"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</sheetPr>
  <dimension ref="A1:F15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20" customWidth="1"/>
    <col min="2" max="4" width="16" customWidth="1"/>
    <col min="5" max="5" width="14" customWidth="1"/>
    <col min="6" max="6" width="16" customWidth="1"/>
  </cols>
  <sheetData>
    <row r="1" ht="35" customHeight="1" spans="1:6" x14ac:dyDescent="0.25">
      <c r="A1" s="42" t="s">
        <v>94</v>
      </c>
      <c r="B1" s="42"/>
      <c r="C1" s="42"/>
      <c r="D1" s="42"/>
      <c r="E1" s="42"/>
      <c r="F1" s="42"/>
    </row>
    <row r="2" ht="30" customHeight="1" spans="1:6" x14ac:dyDescent="0.25">
      <c r="A2" s="12" t="s">
        <v>26</v>
      </c>
      <c r="B2" s="12" t="s">
        <v>27</v>
      </c>
      <c r="C2" s="12" t="s">
        <v>28</v>
      </c>
      <c r="D2" s="12" t="s">
        <v>29</v>
      </c>
      <c r="E2" s="12" t="s">
        <v>30</v>
      </c>
      <c r="F2" s="12" t="s">
        <v>95</v>
      </c>
    </row>
    <row r="3" spans="1:6" x14ac:dyDescent="0.25">
      <c r="A3" s="13" t="s">
        <v>51</v>
      </c>
      <c r="B3" s="28">
        <v>400</v>
      </c>
      <c r="C3" s="15">
        <f>SUMPRODUCT((Transaktionen!C$3:C$1000="Ausgabe")*(Transaktionen!D$3:D$1000=A3)*(MONTH(Transaktionen!B$3:B$1000)=MONTH(TODAY()))*(YEAR(Transaktionen!B$3:B$1000)=YEAR(TODAY()))*Transaktionen!E$3:E$1000)</f>
      </c>
      <c r="D3" s="28">
        <f>B3-C3</f>
      </c>
      <c r="E3" s="17">
        <f>IF(B3=0,0,C3/B3)</f>
      </c>
      <c r="F3" s="47">
        <f>IF(B3=0,"—",IF(E3&gt;1,"ÜBER BUDGET",IF(E3&gt;0.8,"WARNUNG","OK")))</f>
      </c>
    </row>
    <row r="4" spans="1:6" x14ac:dyDescent="0.25">
      <c r="A4" s="18" t="s">
        <v>55</v>
      </c>
      <c r="B4" s="30">
        <v>150</v>
      </c>
      <c r="C4" s="20">
        <f>SUMPRODUCT((Transaktionen!C$3:C$1000="Ausgabe")*(Transaktionen!D$3:D$1000=A4)*(MONTH(Transaktionen!B$3:B$1000)=MONTH(TODAY()))*(YEAR(Transaktionen!B$3:B$1000)=YEAR(TODAY()))*Transaktionen!E$3:E$1000)</f>
      </c>
      <c r="D4" s="30">
        <f>B4-C4</f>
      </c>
      <c r="E4" s="22">
        <f>IF(B4=0,0,C4/B4)</f>
      </c>
      <c r="F4" s="48">
        <f>IF(B4=0,"—",IF(E4&gt;1,"ÜBER BUDGET",IF(E4&gt;0.8,"WARNUNG","OK")))</f>
      </c>
    </row>
    <row r="5" spans="1:6" x14ac:dyDescent="0.25">
      <c r="A5" s="13" t="s">
        <v>48</v>
      </c>
      <c r="B5" s="28">
        <v>1000</v>
      </c>
      <c r="C5" s="15">
        <f>SUMPRODUCT((Transaktionen!C$3:C$1000="Ausgabe")*(Transaktionen!D$3:D$1000=A5)*(MONTH(Transaktionen!B$3:B$1000)=MONTH(TODAY()))*(YEAR(Transaktionen!B$3:B$1000)=YEAR(TODAY()))*Transaktionen!E$3:E$1000)</f>
      </c>
      <c r="D5" s="28">
        <f>B5-C5</f>
      </c>
      <c r="E5" s="17">
        <f>IF(B5=0,0,C5/B5)</f>
      </c>
      <c r="F5" s="47">
        <f>IF(B5=0,"—",IF(E5&gt;1,"ÜBER BUDGET",IF(E5&gt;0.8,"WARNUNG","OK")))</f>
      </c>
    </row>
    <row r="6" spans="1:6" x14ac:dyDescent="0.25">
      <c r="A6" s="18" t="s">
        <v>59</v>
      </c>
      <c r="B6" s="30">
        <v>100</v>
      </c>
      <c r="C6" s="20">
        <f>SUMPRODUCT((Transaktionen!C$3:C$1000="Ausgabe")*(Transaktionen!D$3:D$1000=A6)*(MONTH(Transaktionen!B$3:B$1000)=MONTH(TODAY()))*(YEAR(Transaktionen!B$3:B$1000)=YEAR(TODAY()))*Transaktionen!E$3:E$1000)</f>
      </c>
      <c r="D6" s="30">
        <f>B6-C6</f>
      </c>
      <c r="E6" s="22">
        <f>IF(B6=0,0,C6/B6)</f>
      </c>
      <c r="F6" s="48">
        <f>IF(B6=0,"—",IF(E6&gt;1,"ÜBER BUDGET",IF(E6&gt;0.8,"WARNUNG","OK")))</f>
      </c>
    </row>
    <row r="7" spans="1:6" x14ac:dyDescent="0.25">
      <c r="A7" s="13" t="s">
        <v>62</v>
      </c>
      <c r="B7" s="28">
        <v>50</v>
      </c>
      <c r="C7" s="15">
        <f>SUMPRODUCT((Transaktionen!C$3:C$1000="Ausgabe")*(Transaktionen!D$3:D$1000=A7)*(MONTH(Transaktionen!B$3:B$1000)=MONTH(TODAY()))*(YEAR(Transaktionen!B$3:B$1000)=YEAR(TODAY()))*Transaktionen!E$3:E$1000)</f>
      </c>
      <c r="D7" s="28">
        <f>B7-C7</f>
      </c>
      <c r="E7" s="17">
        <f>IF(B7=0,0,C7/B7)</f>
      </c>
      <c r="F7" s="47">
        <f>IF(B7=0,"—",IF(E7&gt;1,"ÜBER BUDGET",IF(E7&gt;0.8,"WARNUNG","OK")))</f>
      </c>
    </row>
    <row r="8" spans="1:6" x14ac:dyDescent="0.25">
      <c r="A8" s="18" t="s">
        <v>67</v>
      </c>
      <c r="B8" s="30">
        <v>50</v>
      </c>
      <c r="C8" s="20">
        <f>SUMPRODUCT((Transaktionen!C$3:C$1000="Ausgabe")*(Transaktionen!D$3:D$1000=A8)*(MONTH(Transaktionen!B$3:B$1000)=MONTH(TODAY()))*(YEAR(Transaktionen!B$3:B$1000)=YEAR(TODAY()))*Transaktionen!E$3:E$1000)</f>
      </c>
      <c r="D8" s="30">
        <f>B8-C8</f>
      </c>
      <c r="E8" s="22">
        <f>IF(B8=0,0,C8/B8)</f>
      </c>
      <c r="F8" s="48">
        <f>IF(B8=0,"—",IF(E8&gt;1,"ÜBER BUDGET",IF(E8&gt;0.8,"WARNUNG","OK")))</f>
      </c>
    </row>
    <row r="9" spans="1:6" x14ac:dyDescent="0.25">
      <c r="A9" s="13" t="s">
        <v>72</v>
      </c>
      <c r="B9" s="28">
        <v>80</v>
      </c>
      <c r="C9" s="15">
        <f>SUMPRODUCT((Transaktionen!C$3:C$1000="Ausgabe")*(Transaktionen!D$3:D$1000=A9)*(MONTH(Transaktionen!B$3:B$1000)=MONTH(TODAY()))*(YEAR(Transaktionen!B$3:B$1000)=YEAR(TODAY()))*Transaktionen!E$3:E$1000)</f>
      </c>
      <c r="D9" s="28">
        <f>B9-C9</f>
      </c>
      <c r="E9" s="17">
        <f>IF(B9=0,0,C9/B9)</f>
      </c>
      <c r="F9" s="47">
        <f>IF(B9=0,"—",IF(E9&gt;1,"ÜBER BUDGET",IF(E9&gt;0.8,"WARNUNG","OK")))</f>
      </c>
    </row>
    <row r="10" spans="1:6" x14ac:dyDescent="0.25">
      <c r="A10" s="18" t="s">
        <v>64</v>
      </c>
      <c r="B10" s="30">
        <v>100</v>
      </c>
      <c r="C10" s="20">
        <f>SUMPRODUCT((Transaktionen!C$3:C$1000="Ausgabe")*(Transaktionen!D$3:D$1000=A10)*(MONTH(Transaktionen!B$3:B$1000)=MONTH(TODAY()))*(YEAR(Transaktionen!B$3:B$1000)=YEAR(TODAY()))*Transaktionen!E$3:E$1000)</f>
      </c>
      <c r="D10" s="30">
        <f>B10-C10</f>
      </c>
      <c r="E10" s="22">
        <f>IF(B10=0,0,C10/B10)</f>
      </c>
      <c r="F10" s="48">
        <f>IF(B10=0,"—",IF(E10&gt;1,"ÜBER BUDGET",IF(E10&gt;0.8,"WARNUNG","OK")))</f>
      </c>
    </row>
    <row r="15" ht="28" customHeight="1" spans="1:6" x14ac:dyDescent="0.25">
      <c r="A15" s="23" t="s">
        <v>24</v>
      </c>
      <c r="B15" s="24">
        <f>SUM(B3:B14)</f>
      </c>
      <c r="C15" s="24">
        <f>SUM(C3:C14)</f>
      </c>
      <c r="D15" s="24">
        <f>B15-C15</f>
      </c>
      <c r="E15" s="25">
        <f>IF(B15=0,0,C15/B15)</f>
      </c>
      <c r="F15" s="23"/>
    </row>
  </sheetData>
  <mergeCells count="1">
    <mergeCell ref="A1:F1"/>
  </mergeCells>
  <conditionalFormatting sqref="F3:F14">
    <cfRule type="containsText" dxfId="0" priority="1">
      <formula>NOT(ISERROR(SEARCH("ÜBER BUDGET",F3)))</formula>
    </cfRule>
    <cfRule type="containsText" dxfId="1" priority="2">
      <formula>NOT(ISERROR(SEARCH("WARNUNG",F3)))</formula>
    </cfRule>
    <cfRule type="containsText" dxfId="2" priority="3">
      <formula>NOT(ISERROR(SEARCH("OK",F3)))</formula>
    </cfRule>
  </conditionalFormatting>
  <conditionalFormatting sqref="E3:E14">
    <cfRule type="colorScale" priority="4">
      <colorScale>
        <cfvo type="num" val="0"/>
        <cfvo type="num" val="0.5"/>
        <cfvo type="num" val="1"/>
        <color rgb="DCFCE7"/>
        <color rgb="FEF9C3"/>
        <color rgb="FEE2E2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CA8A04"/>
  </sheetPr>
  <dimension ref="A1:F15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20" customWidth="1"/>
    <col min="2" max="2" width="14" customWidth="1"/>
    <col min="3" max="3" width="18" customWidth="1"/>
    <col min="4" max="5" width="16" customWidth="1"/>
    <col min="6" max="6" width="18" customWidth="1"/>
  </cols>
  <sheetData>
    <row r="1" ht="35" customHeight="1" spans="1:5" x14ac:dyDescent="0.25">
      <c r="A1" s="42" t="s">
        <v>96</v>
      </c>
      <c r="B1" s="42"/>
      <c r="C1" s="42"/>
      <c r="D1" s="42"/>
      <c r="E1" s="42"/>
    </row>
    <row r="2" ht="30" customHeight="1" spans="1:6" x14ac:dyDescent="0.25">
      <c r="A2" s="12" t="s">
        <v>97</v>
      </c>
      <c r="B2" s="12" t="s">
        <v>34</v>
      </c>
      <c r="C2" s="12" t="s">
        <v>98</v>
      </c>
      <c r="D2" s="12" t="s">
        <v>8</v>
      </c>
      <c r="E2" s="12" t="s">
        <v>9</v>
      </c>
      <c r="F2" s="12" t="s">
        <v>99</v>
      </c>
    </row>
    <row r="3" spans="1:6" x14ac:dyDescent="0.25">
      <c r="A3" s="13" t="s">
        <v>41</v>
      </c>
      <c r="B3" s="27" t="s">
        <v>100</v>
      </c>
      <c r="C3" s="28">
        <v>2500</v>
      </c>
      <c r="D3" s="14">
        <f>SUMPRODUCT((Transaktionen!C$3:C$1000="Einnahme")*(Transaktionen!F$3:F$1000=A3)*Transaktionen!E$3:E$1000)</f>
      </c>
      <c r="E3" s="15">
        <f>SUMPRODUCT((Transaktionen!C$3:C$1000="Ausgabe")*(Transaktionen!F$3:F$1000=A3)*Transaktionen!E$3:E$1000)</f>
      </c>
      <c r="F3" s="49">
        <f>C3+D3-E3</f>
      </c>
    </row>
    <row r="4" spans="1:6" x14ac:dyDescent="0.25">
      <c r="A4" s="18" t="s">
        <v>52</v>
      </c>
      <c r="B4" s="29" t="s">
        <v>52</v>
      </c>
      <c r="C4" s="30">
        <v>200</v>
      </c>
      <c r="D4" s="19">
        <f>SUMPRODUCT((Transaktionen!C$3:C$1000="Einnahme")*(Transaktionen!F$3:F$1000=A4)*Transaktionen!E$3:E$1000)</f>
      </c>
      <c r="E4" s="20">
        <f>SUMPRODUCT((Transaktionen!C$3:C$1000="Ausgabe")*(Transaktionen!F$3:F$1000=A4)*Transaktionen!E$3:E$1000)</f>
      </c>
      <c r="F4" s="50">
        <f>C4+D4-E4</f>
      </c>
    </row>
    <row r="5" spans="1:6" x14ac:dyDescent="0.25">
      <c r="A5" s="13" t="s">
        <v>56</v>
      </c>
      <c r="B5" s="27" t="s">
        <v>56</v>
      </c>
      <c r="C5" s="28">
        <v>0</v>
      </c>
      <c r="D5" s="14">
        <f>SUMPRODUCT((Transaktionen!C$3:C$1000="Einnahme")*(Transaktionen!F$3:F$1000=A5)*Transaktionen!E$3:E$1000)</f>
      </c>
      <c r="E5" s="15">
        <f>SUMPRODUCT((Transaktionen!C$3:C$1000="Ausgabe")*(Transaktionen!F$3:F$1000=A5)*Transaktionen!E$3:E$1000)</f>
      </c>
      <c r="F5" s="49">
        <f>C5+D5-E5</f>
      </c>
    </row>
    <row r="6" spans="1:6" x14ac:dyDescent="0.25">
      <c r="A6" s="18" t="s">
        <v>76</v>
      </c>
      <c r="B6" s="29" t="s">
        <v>76</v>
      </c>
      <c r="C6" s="30">
        <v>5000</v>
      </c>
      <c r="D6" s="19">
        <f>SUMPRODUCT((Transaktionen!C$3:C$1000="Einnahme")*(Transaktionen!F$3:F$1000=A6)*Transaktionen!E$3:E$1000)</f>
      </c>
      <c r="E6" s="20">
        <f>SUMPRODUCT((Transaktionen!C$3:C$1000="Ausgabe")*(Transaktionen!F$3:F$1000=A6)*Transaktionen!E$3:E$1000)</f>
      </c>
      <c r="F6" s="50">
        <f>C6+D6-E6</f>
      </c>
    </row>
    <row r="7" spans="1:6" x14ac:dyDescent="0.25">
      <c r="A7" s="27"/>
      <c r="B7" s="27"/>
      <c r="C7" s="28"/>
      <c r="D7" s="28">
        <f>IF(A7="","",SUMPRODUCT((Transaktionen!C$3:C$1000="Einnahme")*(Transaktionen!F$3:F$1000=A7)*Transaktionen!E$3:E$1000))</f>
      </c>
      <c r="E7" s="28">
        <f>IF(A7="","",SUMPRODUCT((Transaktionen!C$3:C$1000="Ausgabe")*(Transaktionen!F$3:F$1000=A7)*Transaktionen!E$3:E$1000))</f>
      </c>
      <c r="F7" s="28">
        <f>IF(A7="","",C7+D7-E7)</f>
      </c>
    </row>
    <row r="8" spans="1:6" x14ac:dyDescent="0.25">
      <c r="A8" s="29"/>
      <c r="B8" s="29"/>
      <c r="C8" s="30"/>
      <c r="D8" s="30">
        <f>IF(A8="","",SUMPRODUCT((Transaktionen!C$3:C$1000="Einnahme")*(Transaktionen!F$3:F$1000=A8)*Transaktionen!E$3:E$1000))</f>
      </c>
      <c r="E8" s="30">
        <f>IF(A8="","",SUMPRODUCT((Transaktionen!C$3:C$1000="Ausgabe")*(Transaktionen!F$3:F$1000=A8)*Transaktionen!E$3:E$1000))</f>
      </c>
      <c r="F8" s="30">
        <f>IF(A8="","",C8+D8-E8)</f>
      </c>
    </row>
    <row r="9" spans="1:6" x14ac:dyDescent="0.25">
      <c r="A9" s="27"/>
      <c r="B9" s="27"/>
      <c r="C9" s="28"/>
      <c r="D9" s="28">
        <f>IF(A9="","",SUMPRODUCT((Transaktionen!C$3:C$1000="Einnahme")*(Transaktionen!F$3:F$1000=A9)*Transaktionen!E$3:E$1000))</f>
      </c>
      <c r="E9" s="28">
        <f>IF(A9="","",SUMPRODUCT((Transaktionen!C$3:C$1000="Ausgabe")*(Transaktionen!F$3:F$1000=A9)*Transaktionen!E$3:E$1000))</f>
      </c>
      <c r="F9" s="28">
        <f>IF(A9="","",C9+D9-E9)</f>
      </c>
    </row>
    <row r="10" spans="1:6" x14ac:dyDescent="0.25">
      <c r="A10" s="29"/>
      <c r="B10" s="29"/>
      <c r="C10" s="30"/>
      <c r="D10" s="30">
        <f>IF(A10="","",SUMPRODUCT((Transaktionen!C$3:C$1000="Einnahme")*(Transaktionen!F$3:F$1000=A10)*Transaktionen!E$3:E$1000))</f>
      </c>
      <c r="E10" s="30">
        <f>IF(A10="","",SUMPRODUCT((Transaktionen!C$3:C$1000="Ausgabe")*(Transaktionen!F$3:F$1000=A10)*Transaktionen!E$3:E$1000))</f>
      </c>
      <c r="F10" s="30">
        <f>IF(A10="","",C10+D10-E10)</f>
      </c>
    </row>
    <row r="11" spans="1:6" x14ac:dyDescent="0.25">
      <c r="A11" s="27"/>
      <c r="B11" s="27"/>
      <c r="C11" s="28"/>
      <c r="D11" s="28">
        <f>IF(A11="","",SUMPRODUCT((Transaktionen!C$3:C$1000="Einnahme")*(Transaktionen!F$3:F$1000=A11)*Transaktionen!E$3:E$1000))</f>
      </c>
      <c r="E11" s="28">
        <f>IF(A11="","",SUMPRODUCT((Transaktionen!C$3:C$1000="Ausgabe")*(Transaktionen!F$3:F$1000=A11)*Transaktionen!E$3:E$1000))</f>
      </c>
      <c r="F11" s="28">
        <f>IF(A11="","",C11+D11-E11)</f>
      </c>
    </row>
    <row r="12" spans="1:6" x14ac:dyDescent="0.25">
      <c r="A12" s="29"/>
      <c r="B12" s="29"/>
      <c r="C12" s="30"/>
      <c r="D12" s="30">
        <f>IF(A12="","",SUMPRODUCT((Transaktionen!C$3:C$1000="Einnahme")*(Transaktionen!F$3:F$1000=A12)*Transaktionen!E$3:E$1000))</f>
      </c>
      <c r="E12" s="30">
        <f>IF(A12="","",SUMPRODUCT((Transaktionen!C$3:C$1000="Ausgabe")*(Transaktionen!F$3:F$1000=A12)*Transaktionen!E$3:E$1000))</f>
      </c>
      <c r="F12" s="30">
        <f>IF(A12="","",C12+D12-E12)</f>
      </c>
    </row>
    <row r="15" ht="28" customHeight="1" spans="1:6" x14ac:dyDescent="0.25">
      <c r="A15" s="23" t="s">
        <v>24</v>
      </c>
      <c r="B15" s="23"/>
      <c r="C15" s="24">
        <f>SUM(C3:C12)</f>
      </c>
      <c r="D15" s="24">
        <f>SUM(D3:D12)</f>
      </c>
      <c r="E15" s="24">
        <f>SUM(E3:E12)</f>
      </c>
      <c r="F15" s="24">
        <f>SUM(F3:F12)</f>
      </c>
    </row>
  </sheetData>
  <mergeCells count="1">
    <mergeCell ref="A1:E1"/>
  </mergeCells>
  <conditionalFormatting sqref="F3:F12">
    <cfRule type="cellIs" dxfId="3" priority="1" operator="lessThan">
      <formula>0</formula>
    </cfRule>
    <cfRule type="cellIs" dxfId="4" priority="2" operator="greaterThanOrEqual">
      <formula>0</formula>
    </cfRule>
  </conditionalFormatting>
  <dataValidations count="2">
    <dataValidation type="list" allowBlank="1" sqref="B10:B12">
      <formula1>"Bank,Bargeld,Kreditkarte,Sparkonto"</formula1>
    </dataValidation>
    <dataValidation type="list" allowBlank="1" sqref="B3:B12">
      <formula1>"Bank,Bargeld,Kreditkarte,Sparkonto"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B7280"/>
  </sheetPr>
  <dimension ref="A1:A33"/>
  <sheetFormatPr defaultRowHeight="15" outlineLevelRow="0" outlineLevelCol="0" x14ac:dyDescent="55"/>
  <cols>
    <col min="1" max="1" width="80" customWidth="1"/>
  </cols>
  <sheetData>
    <row r="1" ht="40" customHeight="1" spans="1:1" x14ac:dyDescent="0.25">
      <c r="A1" s="51" t="s">
        <v>101</v>
      </c>
    </row>
    <row r="2" spans="1:1" x14ac:dyDescent="0.25">
      <c r="A2" s="52" t="s">
        <v>70</v>
      </c>
    </row>
    <row r="3" spans="1:1" x14ac:dyDescent="0.25">
      <c r="A3" s="53" t="s">
        <v>102</v>
      </c>
    </row>
    <row r="4" spans="1:1" x14ac:dyDescent="0.25">
      <c r="A4" s="52" t="s">
        <v>70</v>
      </c>
    </row>
    <row r="5" spans="1:1" x14ac:dyDescent="0.25">
      <c r="A5" s="54" t="s">
        <v>103</v>
      </c>
    </row>
    <row r="6" spans="1:1" x14ac:dyDescent="0.25">
      <c r="A6" s="55" t="s">
        <v>104</v>
      </c>
    </row>
    <row r="7" spans="1:1" x14ac:dyDescent="0.25">
      <c r="A7" s="55" t="s">
        <v>105</v>
      </c>
    </row>
    <row r="8" spans="1:1" x14ac:dyDescent="0.25">
      <c r="A8" s="55" t="s">
        <v>106</v>
      </c>
    </row>
    <row r="9" spans="1:1" x14ac:dyDescent="0.25">
      <c r="A9" s="55" t="s">
        <v>107</v>
      </c>
    </row>
    <row r="10" spans="1:1" x14ac:dyDescent="0.25">
      <c r="A10" s="52" t="s">
        <v>70</v>
      </c>
    </row>
    <row r="11" spans="1:1" x14ac:dyDescent="0.25">
      <c r="A11" s="54" t="s">
        <v>108</v>
      </c>
    </row>
    <row r="12" spans="1:1" x14ac:dyDescent="0.25">
      <c r="A12" s="55" t="s">
        <v>109</v>
      </c>
    </row>
    <row r="13" spans="1:1" x14ac:dyDescent="0.25">
      <c r="A13" s="55" t="s">
        <v>110</v>
      </c>
    </row>
    <row r="14" spans="1:1" x14ac:dyDescent="0.25">
      <c r="A14" s="52" t="s">
        <v>70</v>
      </c>
    </row>
    <row r="15" spans="1:1" x14ac:dyDescent="0.25">
      <c r="A15" s="54" t="s">
        <v>111</v>
      </c>
    </row>
    <row r="16" spans="1:1" x14ac:dyDescent="0.25">
      <c r="A16" s="55" t="s">
        <v>112</v>
      </c>
    </row>
    <row r="17" spans="1:1" x14ac:dyDescent="0.25">
      <c r="A17" s="55" t="s">
        <v>113</v>
      </c>
    </row>
    <row r="18" spans="1:1" x14ac:dyDescent="0.25">
      <c r="A18" s="52" t="s">
        <v>70</v>
      </c>
    </row>
    <row r="19" spans="1:1" x14ac:dyDescent="0.25">
      <c r="A19" s="54" t="s">
        <v>114</v>
      </c>
    </row>
    <row r="20" spans="1:1" x14ac:dyDescent="0.25">
      <c r="A20" s="55" t="s">
        <v>115</v>
      </c>
    </row>
    <row r="21" spans="1:1" x14ac:dyDescent="0.25">
      <c r="A21" s="55" t="s">
        <v>116</v>
      </c>
    </row>
    <row r="22" spans="1:1" x14ac:dyDescent="0.25">
      <c r="A22" s="52" t="s">
        <v>70</v>
      </c>
    </row>
    <row r="23" spans="1:1" x14ac:dyDescent="0.25">
      <c r="A23" s="54" t="s">
        <v>117</v>
      </c>
    </row>
    <row r="24" spans="1:1" x14ac:dyDescent="0.25">
      <c r="A24" s="55" t="s">
        <v>118</v>
      </c>
    </row>
    <row r="25" spans="1:1" x14ac:dyDescent="0.25">
      <c r="A25" s="55" t="s">
        <v>119</v>
      </c>
    </row>
    <row r="26" spans="1:1" x14ac:dyDescent="0.25">
      <c r="A26" s="55" t="s">
        <v>120</v>
      </c>
    </row>
    <row r="27" spans="1:1" x14ac:dyDescent="0.25">
      <c r="A27" s="55" t="s">
        <v>121</v>
      </c>
    </row>
    <row r="28" spans="1:1" x14ac:dyDescent="0.25">
      <c r="A28" s="52" t="s">
        <v>70</v>
      </c>
    </row>
    <row r="29" spans="1:1" x14ac:dyDescent="0.25">
      <c r="A29" s="53" t="s">
        <v>122</v>
      </c>
    </row>
    <row r="30" spans="1:1" x14ac:dyDescent="0.25">
      <c r="A30" s="55" t="s">
        <v>123</v>
      </c>
    </row>
    <row r="31" spans="1:1" x14ac:dyDescent="0.25">
      <c r="A31" s="55" t="s">
        <v>124</v>
      </c>
    </row>
    <row r="32" spans="1:1" x14ac:dyDescent="0.25">
      <c r="A32" s="55" t="s">
        <v>125</v>
      </c>
    </row>
    <row r="33" spans="1:1" x14ac:dyDescent="0.25">
      <c r="A33" s="55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Transaktionen</vt:lpstr>
      <vt:lpstr>Kategorien</vt:lpstr>
      <vt:lpstr>Budgets</vt:lpstr>
      <vt:lpstr>Konten</vt:lpstr>
      <vt:lpstr>Anleitung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Budget Tracker</dc:creator>
  <dc:title/>
  <dc:subject/>
  <dc:description/>
  <cp:keywords/>
  <cp:category/>
  <cp:lastModifiedBy>Unknown</cp:lastModifiedBy>
  <dcterms:created xsi:type="dcterms:W3CDTF">2026-02-15T15:55:24Z</dcterms:created>
  <dcterms:modified xsi:type="dcterms:W3CDTF">2026-02-15T15:55:24Z</dcterms:modified>
</cp:coreProperties>
</file>