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Dashboard" state="visible" r:id="rId4"/>
    <sheet sheetId="2" name="Transaktionen" state="visible" r:id="rId5"/>
    <sheet sheetId="3" name="Kategorien" state="visible" r:id="rId6"/>
    <sheet sheetId="4" name="Budgets" state="visible" r:id="rId7"/>
    <sheet sheetId="5" name="Konten" state="visible" r:id="rId8"/>
    <sheet sheetId="6" name="Anleitung" state="visible" r:id="rId9"/>
  </sheets>
  <calcPr calcId="171027"/>
</workbook>
</file>

<file path=xl/sharedStrings.xml><?xml version="1.0" encoding="utf-8"?>
<sst xmlns="http://schemas.openxmlformats.org/spreadsheetml/2006/main" count="241" uniqueCount="130">
  <si>
    <t>BUDGET TRACKER</t>
  </si>
  <si>
    <t>Financial Analytics Dashboard</t>
  </si>
  <si>
    <t>GESAMTGUTHABEN</t>
  </si>
  <si>
    <t>EINNAHMEN · MONAT</t>
  </si>
  <si>
    <t>AUSGABEN · MONAT</t>
  </si>
  <si>
    <t>BILANZ · MONAT</t>
  </si>
  <si>
    <t>SPARQUOTE · MONAT</t>
  </si>
  <si>
    <t>MONATSÜBERSICHT</t>
  </si>
  <si>
    <t>BUDGET STATUS</t>
  </si>
  <si>
    <t>Einnahmen vs. Ausgaben pro Monat</t>
  </si>
  <si>
    <t>Ausgaben vs. Budget (aktueller Monat)</t>
  </si>
  <si>
    <t/>
  </si>
  <si>
    <t>Kategorie</t>
  </si>
  <si>
    <t>Budget</t>
  </si>
  <si>
    <t>Ausgegeben</t>
  </si>
  <si>
    <t>Status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</si>
  <si>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</si>
  <si>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</si>
  <si>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</si>
  <si>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</si>
  <si>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</si>
  <si>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</si>
  <si>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</si>
  <si>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</si>
  <si>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</si>
  <si>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TOTAL</t>
  </si>
  <si>
    <t>Okt</t>
  </si>
  <si>
    <t>Nov</t>
  </si>
  <si>
    <t>Dez</t>
  </si>
  <si>
    <t>GESAMT</t>
  </si>
  <si>
    <t>KONTENÜBERSICHT</t>
  </si>
  <si>
    <t>Aktueller Stand aller Konten</t>
  </si>
  <si>
    <t>Konto</t>
  </si>
  <si>
    <t>Typ</t>
  </si>
  <si>
    <t>Startguthaben</t>
  </si>
  <si>
    <t>Einnahmen</t>
  </si>
  <si>
    <t>Ausgaben</t>
  </si>
  <si>
    <t>Aktueller Stand</t>
  </si>
  <si>
    <t>AUSGABEN NACH KATEGORIE</t>
  </si>
  <si>
    <t>LETZTE TRANSAKTIONEN</t>
  </si>
  <si>
    <t>Verteilung der Ausgaben im aktuellen Monat</t>
  </si>
  <si>
    <t>Die letzten 8 Buchungen</t>
  </si>
  <si>
    <t>Beschreibung</t>
  </si>
  <si>
    <t>Datum</t>
  </si>
  <si>
    <t>Betrag</t>
  </si>
  <si>
    <t>DIAGRAMME</t>
  </si>
  <si>
    <t>Powered by Budget Tracker Pro · All data updates automatically</t>
  </si>
  <si>
    <t>TRANSAKTIONEN</t>
  </si>
  <si>
    <t>Notizen</t>
  </si>
  <si>
    <t>Gehalt Februar</t>
  </si>
  <si>
    <t>Einnahme</t>
  </si>
  <si>
    <t>Gehalt</t>
  </si>
  <si>
    <t>Hauptkonto</t>
  </si>
  <si>
    <t>Monatsgehalt</t>
  </si>
  <si>
    <t>Freelance Projekt</t>
  </si>
  <si>
    <t>Freelance</t>
  </si>
  <si>
    <t>Webdesign</t>
  </si>
  <si>
    <t>Miete</t>
  </si>
  <si>
    <t>Ausgabe</t>
  </si>
  <si>
    <t>Wohnung</t>
  </si>
  <si>
    <t>Monatsmiete</t>
  </si>
  <si>
    <t>Einkauf REWE</t>
  </si>
  <si>
    <t>Lebensmittel</t>
  </si>
  <si>
    <t>Bargeld</t>
  </si>
  <si>
    <t>Wocheneinkauf</t>
  </si>
  <si>
    <t>Tankstelle</t>
  </si>
  <si>
    <t>Transport</t>
  </si>
  <si>
    <t>Kreditkarte</t>
  </si>
  <si>
    <t>Benzin</t>
  </si>
  <si>
    <t>Netflix</t>
  </si>
  <si>
    <t>Unterhaltung</t>
  </si>
  <si>
    <t>Abo</t>
  </si>
  <si>
    <t>Arztbesuch</t>
  </si>
  <si>
    <t>Gesundheit</t>
  </si>
  <si>
    <t>Zuzahlung</t>
  </si>
  <si>
    <t>Restaurant Besuch</t>
  </si>
  <si>
    <t>Restaurant</t>
  </si>
  <si>
    <t>Abendessen</t>
  </si>
  <si>
    <t>Online Kurs</t>
  </si>
  <si>
    <t>Bildung</t>
  </si>
  <si>
    <t>Udemy</t>
  </si>
  <si>
    <t>Einkauf LIDL</t>
  </si>
  <si>
    <t>T-Shirt</t>
  </si>
  <si>
    <t>Kleidung</t>
  </si>
  <si>
    <t>H&amp;M</t>
  </si>
  <si>
    <t>Dividende</t>
  </si>
  <si>
    <t>Investitionen</t>
  </si>
  <si>
    <t>Sparkonto</t>
  </si>
  <si>
    <t>ETF Ausschüttung</t>
  </si>
  <si>
    <t>KATEGORIEN</t>
  </si>
  <si>
    <t>Monatsbudget</t>
  </si>
  <si>
    <t>Farbe</t>
  </si>
  <si>
    <t>Grün</t>
  </si>
  <si>
    <t>Blau</t>
  </si>
  <si>
    <t>Lila</t>
  </si>
  <si>
    <t>Sonstiges Einkommen</t>
  </si>
  <si>
    <t>Grau</t>
  </si>
  <si>
    <t>Rot</t>
  </si>
  <si>
    <t>Orange</t>
  </si>
  <si>
    <t>Gelb</t>
  </si>
  <si>
    <t>Pink</t>
  </si>
  <si>
    <t>Türkis</t>
  </si>
  <si>
    <t>Indigo</t>
  </si>
  <si>
    <t>Rosa</t>
  </si>
  <si>
    <t>MONATLICHE BUDGETS</t>
  </si>
  <si>
    <t>Verbleibend</t>
  </si>
  <si>
    <t>Auslastung</t>
  </si>
  <si>
    <t>Fortschritt</t>
  </si>
  <si>
    <t>KONTEN</t>
  </si>
  <si>
    <t>Kontoname</t>
  </si>
  <si>
    <t>Bank</t>
  </si>
  <si>
    <t>BUDGET TRACKER PRO</t>
  </si>
  <si>
    <t>Anleitung &amp; Schnellstart</t>
  </si>
  <si>
    <t>SO FUNKTIONIERT ES:</t>
  </si>
  <si>
    <t>1. TRANSAKTIONEN</t>
  </si>
  <si>
    <t xml:space="preserve">   Trage jede Einnahme und Ausgabe im Tab 'Transaktionen' ein.</t>
  </si>
  <si>
    <t xml:space="preserve">   Nutze die Dropdown-Menüs für Typ, Kategorie und Konto.</t>
  </si>
  <si>
    <t>2. KATEGORIEN</t>
  </si>
  <si>
    <t xml:space="preserve">   Passe deine Kategorien an oder füge neue hinzu.</t>
  </si>
  <si>
    <t xml:space="preserve">   Setze Monatsbudgets für Ausgabe-Kategorien.</t>
  </si>
  <si>
    <t>3. BUDGETS</t>
  </si>
  <si>
    <t xml:space="preserve">   Sieh auf einen Blick, ob du im Budget bist.</t>
  </si>
  <si>
    <t xml:space="preserve">   Fortschrittsbalken und Ampel-Status zeigen deinen Stand.</t>
  </si>
  <si>
    <t>4. KONTEN</t>
  </si>
  <si>
    <t xml:space="preserve">   Verwalte Bank, Bargeld, Kreditkarte und Sparkonto.</t>
  </si>
  <si>
    <t xml:space="preserve">   Salden werden automatisch berechnet.</t>
  </si>
  <si>
    <t>5. DASHBOARD</t>
  </si>
  <si>
    <t xml:space="preserve">   Alles aktualisiert sich automatisch!</t>
  </si>
  <si>
    <t xml:space="preserve">   Stat-Cards, Monatsübersicht, Budget-Status und mehr.</t>
  </si>
  <si>
    <t>TIPP: Lösche die Beispieldaten und starte mit deinen eigenen!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</si>
</sst>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&quot;€&quot;"/>
    <numFmt numFmtId="165" formatCode="0.0%"/>
    <numFmt numFmtId="166" formatCode="DD.MM.YYYY"/>
  </numFmts>
  <fonts count="41" x14ac:knownFonts="1">
    <font>
      <color theme="1"/>
      <family val="2"/>
      <scheme val="minor"/>
      <sz val="11"/>
      <name val="Calibri"/>
    </font>
    <font>
      <b/>
      <color rgb="00C853"/>
      <sz val="28"/>
      <name val="Segoe UI"/>
    </font>
    <font>
      <color rgb="8B949E"/>
      <sz val="12"/>
      <name val="Segoe UI"/>
    </font>
    <font>
      <b/>
      <color rgb="00C853"/>
      <sz val="9"/>
      <name val="Segoe UI"/>
    </font>
    <font>
      <b/>
      <color rgb="56D4DD"/>
      <sz val="9"/>
      <name val="Segoe UI"/>
    </font>
    <font>
      <b/>
      <color rgb="F85149"/>
      <sz val="9"/>
      <name val="Segoe UI"/>
    </font>
    <font>
      <b/>
      <color rgb="BC8CFF"/>
      <sz val="9"/>
      <name val="Segoe UI"/>
    </font>
    <font>
      <b/>
      <color rgb="E3B341"/>
      <sz val="9"/>
      <name val="Segoe UI"/>
    </font>
    <font>
      <b/>
      <color rgb="00E676"/>
      <sz val="24"/>
      <name val="Segoe UI"/>
    </font>
    <font>
      <b/>
      <color rgb="56D4DD"/>
      <sz val="24"/>
      <name val="Segoe UI"/>
    </font>
    <font>
      <b/>
      <color rgb="FF7B72"/>
      <sz val="24"/>
      <name val="Segoe UI"/>
    </font>
    <font>
      <b/>
      <color rgb="BC8CFF"/>
      <sz val="24"/>
      <name val="Segoe UI"/>
    </font>
    <font>
      <b/>
      <color rgb="E3B341"/>
      <sz val="24"/>
      <name val="Segoe UI"/>
    </font>
    <font>
      <b/>
      <color rgb="F0F6FC"/>
      <sz val="14"/>
      <name val="Segoe UI"/>
    </font>
    <font>
      <color rgb="8B949E"/>
      <sz val="10"/>
      <name val="Segoe UI"/>
    </font>
    <font>
      <b/>
      <color rgb="00C853"/>
      <sz val="10"/>
      <name val="Segoe UI"/>
    </font>
    <font>
      <color rgb="C9D1D9"/>
      <sz val="11"/>
      <name val="Segoe UI"/>
    </font>
    <font>
      <b/>
      <color rgb="F0F6FC"/>
      <sz val="11"/>
      <name val="Segoe UI"/>
    </font>
    <font>
      <color rgb="69F0AE"/>
      <sz val="11"/>
      <name val="Segoe UI"/>
    </font>
    <font>
      <color rgb="FF7B72"/>
      <sz val="11"/>
      <name val="Segoe UI"/>
    </font>
    <font>
      <color rgb="E3B341"/>
      <sz val="11"/>
      <name val="Segoe UI"/>
    </font>
    <font>
      <b/>
      <color rgb="00C853"/>
      <sz val="11"/>
      <name val="Segoe UI"/>
    </font>
    <font>
      <b/>
      <color rgb="00C853"/>
      <sz val="12"/>
      <name val="Segoe UI"/>
    </font>
    <font>
      <b/>
      <color rgb="00C853"/>
      <sz val="13"/>
      <name val="Segoe UI"/>
    </font>
    <font>
      <color rgb="00C853"/>
      <sz val="10"/>
      <name val="Segoe UI"/>
    </font>
    <font>
      <color rgb="F0F6FC"/>
      <sz val="11"/>
      <name val="Segoe UI"/>
    </font>
    <font>
      <b/>
      <color rgb="69F0AE"/>
      <sz val="11"/>
      <name val="Segoe UI"/>
    </font>
    <font>
      <b/>
      <color rgb="8B949E"/>
      <sz val="10"/>
      <name val="Segoe UI"/>
    </font>
    <font>
      <i/>
      <color rgb="484F58"/>
      <sz val="9"/>
      <name val="Segoe UI"/>
    </font>
    <font>
      <b/>
      <color rgb="00C853"/>
      <sz val="22"/>
      <name val="Segoe UI"/>
    </font>
    <font>
      <i/>
      <color rgb="484F58"/>
      <sz val="10"/>
      <name val="Segoe UI"/>
    </font>
    <font>
      <b/>
      <color rgb="F85149"/>
      <sz val="10"/>
      <name val="Segoe UI"/>
    </font>
    <font>
      <b/>
      <color rgb="FF7B72"/>
      <sz val="12"/>
      <name val="Segoe UI"/>
    </font>
    <font>
      <color rgb="8B949E"/>
      <sz val="11"/>
      <name val="Segoe UI"/>
    </font>
    <font>
      <b/>
      <sz val="10"/>
      <name val="Segoe UI"/>
    </font>
    <font>
      <color rgb="00C853"/>
      <sz val="9"/>
      <name val="Segoe UI"/>
    </font>
    <font>
      <b/>
      <color rgb="00C853"/>
      <sz val="14"/>
      <name val="Segoe UI"/>
    </font>
    <font>
      <b/>
      <color rgb="00C853"/>
      <sz val="24"/>
      <name val="Segoe UI"/>
    </font>
    <font>
      <b/>
      <color rgb="8B949E"/>
      <sz val="12"/>
      <name val="Segoe UI"/>
    </font>
    <font>
      <b/>
      <color rgb="56D4DD"/>
      <sz val="13"/>
      <name val="Segoe UI"/>
    </font>
    <font>
      <b/>
      <color rgb="E3B341"/>
      <sz val="12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D1117"/>
      </patternFill>
    </fill>
    <fill>
      <patternFill patternType="solid">
        <fgColor rgb="003D1A"/>
      </patternFill>
    </fill>
    <fill>
      <patternFill patternType="solid">
        <fgColor rgb="0A3D3D"/>
      </patternFill>
    </fill>
    <fill>
      <patternFill patternType="solid">
        <fgColor rgb="3D0C0C"/>
      </patternFill>
    </fill>
    <fill>
      <patternFill patternType="solid">
        <fgColor rgb="2D1B4E"/>
      </patternFill>
    </fill>
    <fill>
      <patternFill patternType="solid">
        <fgColor rgb="3D2E00"/>
      </patternFill>
    </fill>
    <fill>
      <patternFill patternType="solid">
        <fgColor rgb="161B22"/>
      </patternFill>
    </fill>
    <fill>
      <patternFill patternType="solid">
        <fgColor rgb="1C2333"/>
      </patternFill>
    </fill>
  </fills>
  <borders count="15">
    <border>
      <left/>
      <right/>
      <top/>
      <bottom/>
      <diagonal/>
    </border>
    <border>
      <left style="thin">
        <color rgb="0D1117"/>
      </left>
      <right style="thin">
        <color rgb="0D1117"/>
      </right>
      <top style="thin">
        <color rgb="0D1117"/>
      </top>
      <bottom style="thin">
        <color rgb="0D1117"/>
      </bottom>
      <diagonal/>
    </border>
    <border>
      <left style="thin">
        <color rgb="0D1117"/>
      </left>
      <right style="thin">
        <color rgb="0D1117"/>
      </right>
      <top style="thin">
        <color rgb="0D1117"/>
      </top>
      <bottom style="medium">
        <color rgb="00C853"/>
      </bottom>
      <diagonal/>
    </border>
    <border>
      <left style="thin">
        <color rgb="30363D"/>
      </left>
      <right style="thin">
        <color rgb="30363D"/>
      </right>
      <top style="medium">
        <color rgb="00C853"/>
      </top>
      <bottom style="thin">
        <color rgb="30363D"/>
      </bottom>
      <diagonal/>
    </border>
    <border>
      <left style="thin">
        <color rgb="30363D"/>
      </left>
      <right style="thin">
        <color rgb="30363D"/>
      </right>
      <top style="medium">
        <color rgb="56D4DD"/>
      </top>
      <bottom style="thin">
        <color rgb="30363D"/>
      </bottom>
      <diagonal/>
    </border>
    <border>
      <left style="thin">
        <color rgb="30363D"/>
      </left>
      <right style="thin">
        <color rgb="30363D"/>
      </right>
      <top style="medium">
        <color rgb="F85149"/>
      </top>
      <bottom style="thin">
        <color rgb="30363D"/>
      </bottom>
      <diagonal/>
    </border>
    <border>
      <left style="thin">
        <color rgb="30363D"/>
      </left>
      <right style="thin">
        <color rgb="30363D"/>
      </right>
      <top style="medium">
        <color rgb="BC8CFF"/>
      </top>
      <bottom style="thin">
        <color rgb="30363D"/>
      </bottom>
      <diagonal/>
    </border>
    <border>
      <left style="thin">
        <color rgb="30363D"/>
      </left>
      <right style="thin">
        <color rgb="30363D"/>
      </right>
      <top style="medium">
        <color rgb="E3B341"/>
      </top>
      <bottom style="thin">
        <color rgb="30363D"/>
      </bottom>
      <diagonal/>
    </border>
    <border>
      <left style="thin">
        <color rgb="30363D"/>
      </left>
      <right style="thin">
        <color rgb="30363D"/>
      </right>
      <top style="thin">
        <color rgb="30363D"/>
      </top>
      <bottom style="medium">
        <color rgb="00C853"/>
      </bottom>
      <diagonal/>
    </border>
    <border>
      <left style="thin">
        <color rgb="30363D"/>
      </left>
      <right style="thin">
        <color rgb="30363D"/>
      </right>
      <top style="thin">
        <color rgb="30363D"/>
      </top>
      <bottom style="medium">
        <color rgb="56D4DD"/>
      </bottom>
      <diagonal/>
    </border>
    <border>
      <left style="thin">
        <color rgb="30363D"/>
      </left>
      <right style="thin">
        <color rgb="30363D"/>
      </right>
      <top style="thin">
        <color rgb="30363D"/>
      </top>
      <bottom style="medium">
        <color rgb="F85149"/>
      </bottom>
      <diagonal/>
    </border>
    <border>
      <left style="thin">
        <color rgb="30363D"/>
      </left>
      <right style="thin">
        <color rgb="30363D"/>
      </right>
      <top style="thin">
        <color rgb="30363D"/>
      </top>
      <bottom style="medium">
        <color rgb="BC8CFF"/>
      </bottom>
      <diagonal/>
    </border>
    <border>
      <left style="thin">
        <color rgb="30363D"/>
      </left>
      <right style="thin">
        <color rgb="30363D"/>
      </right>
      <top style="thin">
        <color rgb="30363D"/>
      </top>
      <bottom style="medium">
        <color rgb="E3B341"/>
      </bottom>
      <diagonal/>
    </border>
    <border>
      <left style="thin">
        <color rgb="30363D"/>
      </left>
      <right style="thin">
        <color rgb="30363D"/>
      </right>
      <top style="thin">
        <color rgb="30363D"/>
      </top>
      <bottom style="thin">
        <color rgb="30363D"/>
      </bottom>
      <diagonal/>
    </border>
    <border>
      <left style="thin">
        <color rgb="30363D"/>
      </left>
      <right style="thin">
        <color rgb="30363D"/>
      </right>
      <top style="medium">
        <color rgb="00C853"/>
      </top>
      <bottom style="medium">
        <color rgb="00C853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0" fillId="2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164" fontId="9" fillId="4" borderId="9" xfId="0" applyNumberFormat="1" applyFont="1" applyFill="1" applyBorder="1" applyAlignment="1">
      <alignment horizontal="center" vertical="center"/>
    </xf>
    <xf numFmtId="164" fontId="10" fillId="5" borderId="10" xfId="0" applyNumberFormat="1" applyFont="1" applyFill="1" applyBorder="1" applyAlignment="1">
      <alignment horizontal="center" vertical="center"/>
    </xf>
    <xf numFmtId="164" fontId="11" fillId="6" borderId="11" xfId="0" applyNumberFormat="1" applyFont="1" applyFill="1" applyBorder="1" applyAlignment="1">
      <alignment horizontal="center" vertical="center"/>
    </xf>
    <xf numFmtId="165" fontId="12" fillId="7" borderId="12" xfId="0" applyNumberFormat="1" applyFont="1" applyFill="1" applyBorder="1" applyAlignment="1">
      <alignment horizontal="center" vertical="center"/>
    </xf>
    <xf numFmtId="0" fontId="0" fillId="3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8" borderId="8" xfId="0" applyFont="1" applyFill="1" applyBorder="1" applyAlignment="1">
      <alignment horizontal="left" vertical="center"/>
    </xf>
    <xf numFmtId="0" fontId="16" fillId="2" borderId="13" xfId="0" applyFont="1" applyFill="1" applyBorder="1" applyAlignment="1">
      <alignment horizontal="left" vertical="center"/>
    </xf>
    <xf numFmtId="0" fontId="17" fillId="8" borderId="13" xfId="0" applyFont="1" applyFill="1" applyBorder="1" applyAlignment="1">
      <alignment horizontal="left" vertical="center"/>
    </xf>
    <xf numFmtId="164" fontId="18" fillId="8" borderId="13" xfId="0" applyNumberFormat="1" applyFont="1" applyFill="1" applyBorder="1" applyAlignment="1">
      <alignment horizontal="left" vertical="center"/>
    </xf>
    <xf numFmtId="164" fontId="19" fillId="8" borderId="13" xfId="0" applyNumberFormat="1" applyFont="1" applyFill="1" applyBorder="1" applyAlignment="1">
      <alignment horizontal="left" vertical="center"/>
    </xf>
    <xf numFmtId="164" fontId="17" fillId="8" borderId="13" xfId="0" applyNumberFormat="1" applyFont="1" applyFill="1" applyBorder="1" applyAlignment="1">
      <alignment horizontal="left" vertical="center"/>
    </xf>
    <xf numFmtId="165" fontId="20" fillId="8" borderId="13" xfId="0" applyNumberFormat="1" applyFont="1" applyFill="1" applyBorder="1" applyAlignment="1">
      <alignment horizontal="left" vertical="center"/>
    </xf>
    <xf numFmtId="164" fontId="16" fillId="8" borderId="13" xfId="0" applyNumberFormat="1" applyFont="1" applyFill="1" applyBorder="1" applyAlignment="1">
      <alignment horizontal="left" vertical="center"/>
    </xf>
    <xf numFmtId="0" fontId="15" fillId="8" borderId="13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left" vertical="center"/>
    </xf>
    <xf numFmtId="164" fontId="18" fillId="9" borderId="13" xfId="0" applyNumberFormat="1" applyFont="1" applyFill="1" applyBorder="1" applyAlignment="1">
      <alignment horizontal="left" vertical="center"/>
    </xf>
    <xf numFmtId="164" fontId="19" fillId="9" borderId="13" xfId="0" applyNumberFormat="1" applyFont="1" applyFill="1" applyBorder="1" applyAlignment="1">
      <alignment horizontal="left" vertical="center"/>
    </xf>
    <xf numFmtId="164" fontId="17" fillId="9" borderId="13" xfId="0" applyNumberFormat="1" applyFont="1" applyFill="1" applyBorder="1" applyAlignment="1">
      <alignment horizontal="left" vertical="center"/>
    </xf>
    <xf numFmtId="165" fontId="20" fillId="9" borderId="13" xfId="0" applyNumberFormat="1" applyFont="1" applyFill="1" applyBorder="1" applyAlignment="1">
      <alignment horizontal="left" vertical="center"/>
    </xf>
    <xf numFmtId="164" fontId="16" fillId="9" borderId="13" xfId="0" applyNumberFormat="1" applyFont="1" applyFill="1" applyBorder="1" applyAlignment="1">
      <alignment horizontal="left" vertical="center"/>
    </xf>
    <xf numFmtId="0" fontId="15" fillId="9" borderId="13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vertical="center"/>
    </xf>
    <xf numFmtId="164" fontId="21" fillId="3" borderId="14" xfId="0" applyNumberFormat="1" applyFont="1" applyFill="1" applyBorder="1" applyAlignment="1">
      <alignment vertical="center"/>
    </xf>
    <xf numFmtId="0" fontId="22" fillId="3" borderId="14" xfId="0" applyFont="1" applyFill="1" applyBorder="1" applyAlignment="1">
      <alignment vertical="center"/>
    </xf>
    <xf numFmtId="164" fontId="22" fillId="3" borderId="14" xfId="0" applyNumberFormat="1" applyFont="1" applyFill="1" applyBorder="1" applyAlignment="1">
      <alignment vertical="center"/>
    </xf>
    <xf numFmtId="165" fontId="22" fillId="3" borderId="14" xfId="0" applyNumberFormat="1" applyFont="1" applyFill="1" applyBorder="1" applyAlignment="1">
      <alignment vertical="center"/>
    </xf>
    <xf numFmtId="0" fontId="14" fillId="8" borderId="13" xfId="0" applyFont="1" applyFill="1" applyBorder="1" applyAlignment="1">
      <alignment horizontal="left" vertical="center"/>
    </xf>
    <xf numFmtId="164" fontId="23" fillId="8" borderId="13" xfId="0" applyNumberFormat="1" applyFont="1" applyFill="1" applyBorder="1" applyAlignment="1">
      <alignment horizontal="left" vertical="center"/>
    </xf>
    <xf numFmtId="0" fontId="14" fillId="9" borderId="13" xfId="0" applyFont="1" applyFill="1" applyBorder="1" applyAlignment="1">
      <alignment horizontal="left" vertical="center"/>
    </xf>
    <xf numFmtId="164" fontId="23" fillId="9" borderId="13" xfId="0" applyNumberFormat="1" applyFont="1" applyFill="1" applyBorder="1" applyAlignment="1">
      <alignment horizontal="left" vertical="center"/>
    </xf>
    <xf numFmtId="0" fontId="24" fillId="8" borderId="13" xfId="0" applyFont="1" applyFill="1" applyBorder="1" applyAlignment="1">
      <alignment horizontal="left" vertical="center"/>
    </xf>
    <xf numFmtId="0" fontId="25" fillId="8" borderId="13" xfId="0" applyFont="1" applyFill="1" applyBorder="1" applyAlignment="1">
      <alignment horizontal="left" vertical="center"/>
    </xf>
    <xf numFmtId="166" fontId="14" fillId="8" borderId="13" xfId="0" applyNumberFormat="1" applyFont="1" applyFill="1" applyBorder="1" applyAlignment="1">
      <alignment horizontal="left" vertical="center"/>
    </xf>
    <xf numFmtId="164" fontId="26" fillId="8" borderId="13" xfId="0" applyNumberFormat="1" applyFont="1" applyFill="1" applyBorder="1" applyAlignment="1">
      <alignment horizontal="left" vertical="center"/>
    </xf>
    <xf numFmtId="0" fontId="27" fillId="8" borderId="13" xfId="0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left" vertical="center"/>
    </xf>
    <xf numFmtId="0" fontId="25" fillId="9" borderId="13" xfId="0" applyFont="1" applyFill="1" applyBorder="1" applyAlignment="1">
      <alignment horizontal="left" vertical="center"/>
    </xf>
    <xf numFmtId="166" fontId="14" fillId="9" borderId="13" xfId="0" applyNumberFormat="1" applyFont="1" applyFill="1" applyBorder="1" applyAlignment="1">
      <alignment horizontal="left" vertical="center"/>
    </xf>
    <xf numFmtId="164" fontId="26" fillId="9" borderId="13" xfId="0" applyNumberFormat="1" applyFont="1" applyFill="1" applyBorder="1" applyAlignment="1">
      <alignment horizontal="left" vertical="center"/>
    </xf>
    <xf numFmtId="0" fontId="27" fillId="9" borderId="13" xfId="0" applyFont="1" applyFill="1" applyBorder="1" applyAlignment="1">
      <alignment horizontal="center" vertical="center"/>
    </xf>
    <xf numFmtId="0" fontId="13" fillId="2" borderId="2" xfId="0" applyFont="1" applyFill="1" applyBorder="1"/>
    <xf numFmtId="0" fontId="28" fillId="2" borderId="1" xfId="0" applyFont="1" applyFill="1" applyBorder="1" applyAlignment="1">
      <alignment horizontal="center"/>
    </xf>
    <xf numFmtId="0" fontId="29" fillId="2" borderId="1" xfId="0" applyFont="1" applyFill="1" applyBorder="1"/>
    <xf numFmtId="0" fontId="15" fillId="3" borderId="13" xfId="0" applyFont="1" applyFill="1" applyBorder="1" applyAlignment="1">
      <alignment horizontal="center" vertical="center"/>
    </xf>
    <xf numFmtId="164" fontId="22" fillId="8" borderId="13" xfId="0" applyNumberFormat="1" applyFont="1" applyFill="1" applyBorder="1" applyAlignment="1">
      <alignment horizontal="left" vertical="center"/>
    </xf>
    <xf numFmtId="0" fontId="16" fillId="8" borderId="13" xfId="0" applyFont="1" applyFill="1" applyBorder="1" applyAlignment="1">
      <alignment horizontal="left" vertical="center"/>
    </xf>
    <xf numFmtId="0" fontId="30" fillId="8" borderId="13" xfId="0" applyFont="1" applyFill="1" applyBorder="1" applyAlignment="1">
      <alignment horizontal="left" vertical="center"/>
    </xf>
    <xf numFmtId="164" fontId="22" fillId="9" borderId="13" xfId="0" applyNumberFormat="1" applyFont="1" applyFill="1" applyBorder="1" applyAlignment="1">
      <alignment horizontal="left" vertical="center"/>
    </xf>
    <xf numFmtId="0" fontId="16" fillId="9" borderId="13" xfId="0" applyFont="1" applyFill="1" applyBorder="1" applyAlignment="1">
      <alignment horizontal="left" vertical="center"/>
    </xf>
    <xf numFmtId="0" fontId="30" fillId="9" borderId="13" xfId="0" applyFont="1" applyFill="1" applyBorder="1" applyAlignment="1">
      <alignment horizontal="left" vertical="center"/>
    </xf>
    <xf numFmtId="0" fontId="31" fillId="5" borderId="13" xfId="0" applyFont="1" applyFill="1" applyBorder="1" applyAlignment="1">
      <alignment horizontal="center" vertical="center"/>
    </xf>
    <xf numFmtId="164" fontId="32" fillId="8" borderId="13" xfId="0" applyNumberFormat="1" applyFont="1" applyFill="1" applyBorder="1" applyAlignment="1">
      <alignment horizontal="left" vertical="center"/>
    </xf>
    <xf numFmtId="164" fontId="32" fillId="9" borderId="13" xfId="0" applyNumberFormat="1" applyFont="1" applyFill="1" applyBorder="1" applyAlignment="1">
      <alignment horizontal="left" vertical="center"/>
    </xf>
    <xf numFmtId="166" fontId="16" fillId="8" borderId="13" xfId="0" applyNumberFormat="1" applyFont="1" applyFill="1" applyBorder="1" applyAlignment="1">
      <alignment horizontal="left" vertical="center"/>
    </xf>
    <xf numFmtId="166" fontId="16" fillId="9" borderId="13" xfId="0" applyNumberFormat="1" applyFont="1" applyFill="1" applyBorder="1" applyAlignment="1">
      <alignment horizontal="left" vertical="center"/>
    </xf>
    <xf numFmtId="0" fontId="33" fillId="8" borderId="13" xfId="0" applyFont="1" applyFill="1" applyBorder="1" applyAlignment="1">
      <alignment horizontal="left" vertical="center"/>
    </xf>
    <xf numFmtId="0" fontId="33" fillId="9" borderId="13" xfId="0" applyFont="1" applyFill="1" applyBorder="1" applyAlignment="1">
      <alignment horizontal="left" vertical="center"/>
    </xf>
    <xf numFmtId="165" fontId="20" fillId="8" borderId="13" xfId="0" applyNumberFormat="1" applyFont="1" applyFill="1" applyBorder="1" applyAlignment="1">
      <alignment horizontal="center" vertical="center"/>
    </xf>
    <xf numFmtId="0" fontId="34" fillId="8" borderId="13" xfId="0" applyFont="1" applyFill="1" applyBorder="1" applyAlignment="1">
      <alignment horizontal="center" vertical="center"/>
    </xf>
    <xf numFmtId="0" fontId="35" fillId="8" borderId="13" xfId="0" applyFont="1" applyFill="1" applyBorder="1" applyAlignment="1">
      <alignment horizontal="left" vertical="center"/>
    </xf>
    <xf numFmtId="165" fontId="20" fillId="9" borderId="13" xfId="0" applyNumberFormat="1" applyFont="1" applyFill="1" applyBorder="1" applyAlignment="1">
      <alignment horizontal="center" vertical="center"/>
    </xf>
    <xf numFmtId="0" fontId="34" fillId="9" borderId="13" xfId="0" applyFont="1" applyFill="1" applyBorder="1" applyAlignment="1">
      <alignment horizontal="center" vertical="center"/>
    </xf>
    <xf numFmtId="0" fontId="35" fillId="9" borderId="13" xfId="0" applyFont="1" applyFill="1" applyBorder="1" applyAlignment="1">
      <alignment horizontal="left" vertical="center"/>
    </xf>
    <xf numFmtId="0" fontId="14" fillId="8" borderId="13" xfId="0" applyFont="1" applyFill="1" applyBorder="1" applyAlignment="1">
      <alignment horizontal="center" vertical="center"/>
    </xf>
    <xf numFmtId="164" fontId="36" fillId="8" borderId="13" xfId="0" applyNumberFormat="1" applyFont="1" applyFill="1" applyBorder="1" applyAlignment="1">
      <alignment horizontal="left" vertical="center"/>
    </xf>
    <xf numFmtId="0" fontId="14" fillId="9" borderId="13" xfId="0" applyFont="1" applyFill="1" applyBorder="1" applyAlignment="1">
      <alignment horizontal="center" vertical="center"/>
    </xf>
    <xf numFmtId="164" fontId="36" fillId="9" borderId="13" xfId="0" applyNumberFormat="1" applyFont="1" applyFill="1" applyBorder="1" applyAlignment="1">
      <alignment horizontal="left" vertical="center"/>
    </xf>
    <xf numFmtId="0" fontId="37" fillId="2" borderId="1" xfId="0" applyFont="1" applyFill="1" applyBorder="1"/>
    <xf numFmtId="0" fontId="38" fillId="2" borderId="1" xfId="0" applyFont="1" applyFill="1" applyBorder="1"/>
    <xf numFmtId="0" fontId="16" fillId="2" borderId="1" xfId="0" applyFont="1" applyFill="1" applyBorder="1"/>
    <xf numFmtId="0" fontId="36" fillId="2" borderId="1" xfId="0" applyFont="1" applyFill="1" applyBorder="1"/>
    <xf numFmtId="0" fontId="39" fillId="2" borderId="1" xfId="0" applyFont="1" applyFill="1" applyBorder="1"/>
    <xf numFmtId="0" fontId="33" fillId="2" borderId="1" xfId="0" applyFont="1" applyFill="1" applyBorder="1"/>
    <xf numFmtId="0" fontId="40" fillId="2" borderId="1" xfId="0" applyFont="1" applyFill="1" applyBorder="1"/>
  </cellXfs>
  <cellStyles count="1">
    <cellStyle name="Normal" xfId="0" builtinId="0"/>
  </cellStyles>
  <dxfs count="10">
    <dxf>
      <font>
        <b/>
        <color rgb="F85149"/>
      </font>
      <fill>
        <patternFill patternType="solid">
          <bgColor rgb="3D0C0C"/>
        </patternFill>
      </fill>
    </dxf>
    <dxf>
      <font>
        <b/>
        <color rgb="F0883E"/>
      </font>
      <fill>
        <patternFill patternType="solid">
          <bgColor rgb="3D2200"/>
        </patternFill>
      </fill>
    </dxf>
    <dxf>
      <font>
        <b/>
        <color rgb="00C853"/>
      </font>
      <fill>
        <patternFill patternType="solid">
          <bgColor rgb="003D1A"/>
        </patternFill>
      </fill>
    </dxf>
    <dxf>
      <font>
        <b/>
        <color rgb="F85149"/>
      </font>
      <fill>
        <patternFill patternType="solid">
          <bgColor rgb="3D0C0C"/>
        </patternFill>
      </fill>
    </dxf>
    <dxf>
      <font>
        <b/>
        <color rgb="00C853"/>
      </font>
      <fill>
        <patternFill patternType="solid">
          <bgColor rgb="003D1A"/>
        </patternFill>
      </fill>
    </dxf>
    <dxf>
      <font>
        <b/>
        <color rgb="F85149"/>
      </font>
      <fill>
        <patternFill patternType="solid">
          <bgColor rgb="3D0C0C"/>
        </patternFill>
      </fill>
    </dxf>
    <dxf>
      <font>
        <b/>
        <color rgb="F85149"/>
      </font>
      <fill>
        <patternFill patternType="solid">
          <bgColor rgb="3D0C0C"/>
        </patternFill>
      </fill>
    </dxf>
    <dxf>
      <font>
        <b/>
        <color rgb="F0883E"/>
      </font>
      <fill>
        <patternFill patternType="solid">
          <bgColor rgb="3D2200"/>
        </patternFill>
      </fill>
    </dxf>
    <dxf>
      <font>
        <b/>
        <color rgb="00C853"/>
      </font>
      <fill>
        <patternFill patternType="solid">
          <bgColor rgb="003D1A"/>
        </patternFill>
      </fill>
    </dxf>
    <dxf>
      <font>
        <b/>
        <color rgb="F85149"/>
      </font>
      <fill>
        <patternFill patternType="solid">
          <bgColor rgb="3D0C0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_rels/chart1.xml.rels><?xml version="1.0" encoding="UTF-8" standalone="yes"?><Relationships xmlns="http://schemas.openxmlformats.org/package/2006/relationships"/>
</file>

<file path=xl/charts/_rels/chart2.xml.rels><?xml version="1.0" encoding="UTF-8" standalone="yes"?><Relationships xmlns="http://schemas.openxmlformats.org/package/2006/relationships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0"/>
    <c:title>
      <c:tx>
        <c:rich>
          <a:bodyPr rot="0" vert="horz"/>
          <a:lstStyle/>
          <a:p>
            <a:pPr>
              <a:defRPr sz="1400" b="1">
                <a:solidFill>
                  <a:srgbClr val="F0F6FC"/>
                </a:solidFill>
                <a:latin typeface="Segoe UI"/>
              </a:defRPr>
            </a:pPr>
            <a:r>
              <a:rPr lang="de-DE" sz="1400" b="1">
                <a:solidFill>
                  <a:srgbClr val="00C853"/>
                </a:solidFill>
                <a:latin typeface="Segoe UI"/>
              </a:rPr>
              <a:t>Ausgaben nach Kategorie</a:t>
            </a:r>
          </a:p>
        </c:rich>
      </c:tx>
      <c:overlay val="0"/>
      <c:spPr>
        <a:noFill/>
        <a:ln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Dashboard!$C$38</c:f>
              <c:strCache>
                <c:ptCount val="1"/>
                <c:pt idx="0">
                  <c:v>Betrag</c:v>
                </c:pt>
              </c:strCache>
            </c:strRef>
          </c:tx>
          <c:dPt>
            <c:idx val="0"/>
            <c:spPr>
              <a:solidFill>
                <a:srgbClr val="00C853"/>
              </a:solidFill>
              <a:ln w="19050">
                <a:solidFill>
                  <a:srgbClr val="0D1117"/>
                </a:solidFill>
              </a:ln>
            </c:spPr>
          </c:dPt>
          <c:dPt>
            <c:idx val="1"/>
            <c:spPr>
              <a:solidFill>
                <a:srgbClr val="00E676"/>
              </a:solidFill>
              <a:ln w="19050">
                <a:solidFill>
                  <a:srgbClr val="0D1117"/>
                </a:solidFill>
              </a:ln>
            </c:spPr>
          </c:dPt>
          <c:dPt>
            <c:idx val="2"/>
            <c:spPr>
              <a:solidFill>
                <a:srgbClr val="69F0AE"/>
              </a:solidFill>
              <a:ln w="19050">
                <a:solidFill>
                  <a:srgbClr val="0D1117"/>
                </a:solidFill>
              </a:ln>
            </c:spPr>
          </c:dPt>
          <c:dPt>
            <c:idx val="3"/>
            <c:spPr>
              <a:solidFill>
                <a:srgbClr val="58A6FF"/>
              </a:solidFill>
              <a:ln w="19050">
                <a:solidFill>
                  <a:srgbClr val="0D1117"/>
                </a:solidFill>
              </a:ln>
            </c:spPr>
          </c:dPt>
          <c:dPt>
            <c:idx val="4"/>
            <c:spPr>
              <a:solidFill>
                <a:srgbClr val="56D4DD"/>
              </a:solidFill>
              <a:ln w="19050">
                <a:solidFill>
                  <a:srgbClr val="0D1117"/>
                </a:solidFill>
              </a:ln>
            </c:spPr>
          </c:dPt>
          <c:dPt>
            <c:idx val="5"/>
            <c:spPr>
              <a:solidFill>
                <a:srgbClr val="BC8CFF"/>
              </a:solidFill>
              <a:ln w="19050">
                <a:solidFill>
                  <a:srgbClr val="0D1117"/>
                </a:solidFill>
              </a:ln>
            </c:spPr>
          </c:dPt>
          <c:dPt>
            <c:idx val="6"/>
            <c:spPr>
              <a:solidFill>
                <a:srgbClr val="F778BA"/>
              </a:solidFill>
              <a:ln w="19050">
                <a:solidFill>
                  <a:srgbClr val="0D1117"/>
                </a:solidFill>
              </a:ln>
            </c:spPr>
          </c:dPt>
          <c:dPt>
            <c:idx val="7"/>
            <c:spPr>
              <a:solidFill>
                <a:srgbClr val="E3B341"/>
              </a:solidFill>
              <a:ln w="19050">
                <a:solidFill>
                  <a:srgbClr val="0D1117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1"/>
            <c:separator> </c:separator>
            <c:txPr>
              <a:bodyPr rot="0" vert="horz"/>
              <a:lstStyle/>
              <a:p>
                <a:pPr>
                  <a:defRPr sz="900" b="0">
                    <a:solidFill>
                      <a:srgbClr val="F0F6FC"/>
                    </a:solidFill>
                    <a:latin typeface="Segoe UI"/>
                  </a:defRPr>
                </a:pPr>
                <a:endParaRPr lang="de-DE"/>
              </a:p>
            </c:txPr>
          </c:dLbls>
          <c:cat>
            <c:strRef>
              <c:f>Dashboard!$B$39:$B$46</c:f>
              <c:strCache>
                <c:ptCount val="8"/>
                <c:pt idx="0">
                  <c:v>Lebensmittel</c:v>
                </c:pt>
                <c:pt idx="1">
                  <c:v>Transport</c:v>
                </c:pt>
                <c:pt idx="2">
                  <c:v>Wohnung</c:v>
                </c:pt>
                <c:pt idx="3">
                  <c:v>Unterhaltung</c:v>
                </c:pt>
                <c:pt idx="4">
                  <c:v>Gesundheit</c:v>
                </c:pt>
                <c:pt idx="5">
                  <c:v>Bildung</c:v>
                </c:pt>
                <c:pt idx="6">
                  <c:v>Kleidung</c:v>
                </c:pt>
                <c:pt idx="7">
                  <c:v>Restaurant</c:v>
                </c:pt>
              </c:strCache>
            </c:strRef>
          </c:cat>
          <c:val>
            <c:numRef>
              <c:f>Dashboard!$C$39:$C$46</c:f>
              <c:numCache>
                <c:formatCode>#,##0.00\ "\u20ac"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legend>
      <c:legendPos val="r"/>
      <c:overlay val="0"/>
      <c:txPr>
        <a:bodyPr rot="0" vert="horz"/>
        <a:lstStyle/>
        <a:p>
          <a:pPr>
            <a:defRPr sz="800">
              <a:solidFill>
                <a:srgbClr val="C9D1D9"/>
              </a:solidFill>
              <a:latin typeface="Segoe UI"/>
            </a:defRPr>
          </a:pPr>
          <a:endParaRPr lang="de-DE"/>
        </a:p>
      </c:txPr>
      <c:spPr>
        <a:noFill/>
        <a:ln>
          <a:noFill/>
        </a:ln>
      </c:spPr>
    </c:legend>
    <c:plotVisOnly val="1"/>
    <c:dispBlanksAs val="gap"/>
  </c:chart>
  <c:spPr>
    <a:solidFill>
      <a:srgbClr val="161B22"/>
    </a:solidFill>
    <a:ln w="9525">
      <a:solidFill>
        <a:srgbClr val="30363D"/>
      </a:solidFill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0"/>
    <c:title>
      <c:tx>
        <c:rich>
          <a:bodyPr rot="0" vert="horz"/>
          <a:lstStyle/>
          <a:p>
            <a:pPr>
              <a:defRPr sz="1400" b="1">
                <a:solidFill>
                  <a:srgbClr val="00C853"/>
                </a:solidFill>
                <a:latin typeface="Segoe UI"/>
              </a:defRPr>
            </a:pPr>
            <a:r>
              <a:rPr lang="de-DE" sz="1400" b="1">
                <a:solidFill>
                  <a:srgbClr val="00C853"/>
                </a:solidFill>
                <a:latin typeface="Segoe UI"/>
              </a:rPr>
              <a:t>Einnahmen vs. Ausgaben</a:t>
            </a:r>
          </a:p>
        </c:rich>
      </c:tx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</c:f>
              <c:strCache>
                <c:ptCount val="1"/>
                <c:pt idx="0">
                  <c:v>Einnahmen</c:v>
                </c:pt>
              </c:strCache>
            </c:strRef>
          </c:tx>
          <c:spPr>
            <a:solidFill>
              <a:srgbClr val="00C853"/>
            </a:solidFill>
            <a:ln w="0">
              <a:noFill/>
            </a:ln>
            <a:effectLst/>
          </c:spPr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M\u00e4r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Dashboard!$C$13:$C$24</c:f>
              <c:numCache>
                <c:formatCode>#,##0.00\ "\u20ac"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Ausgaben</c:v>
                </c:pt>
              </c:strCache>
            </c:strRef>
          </c:tx>
          <c:spPr>
            <a:solidFill>
              <a:srgbClr val="F85149"/>
            </a:solidFill>
            <a:ln w="0">
              <a:noFill/>
            </a:ln>
            <a:effectLst/>
          </c:spPr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M\u00e4r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Dashboard!$D$13:$D$24</c:f>
              <c:numCache>
                <c:formatCode>#,##0.00\ "\u20ac"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30363D"/>
            </a:solidFill>
          </a:ln>
        </c:spPr>
        <c:txPr>
          <a:bodyPr rot="0" vert="horz"/>
          <a:lstStyle/>
          <a:p>
            <a:pPr>
              <a:defRPr sz="900">
                <a:solidFill>
                  <a:srgbClr val="C9D1D9"/>
                </a:solidFill>
                <a:latin typeface="Segoe UI"/>
              </a:defRPr>
            </a:pPr>
            <a:endParaRPr lang="de-DE"/>
          </a:p>
        </c:txPr>
        <c:crossAx val="222222222"/>
        <c:crosses val="autoZero"/>
        <c:auto val="1"/>
        <c:lblAlgn val="ctr"/>
        <c:lblOffset val="100"/>
      </c:catAx>
      <c:valAx>
        <c:axId val="222222222"/>
        <c:scaling>
          <c:orientation val="minMax"/>
        </c:scaling>
        <c:delete val="0"/>
        <c:axPos val="l"/>
        <c:numFmt formatCode="#,##0\ &quot;\u20ac&quot;" sourceLinked="0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800">
                <a:solidFill>
                  <a:srgbClr val="8B949E"/>
                </a:solidFill>
                <a:latin typeface="Segoe UI"/>
              </a:defRPr>
            </a:pPr>
            <a:endParaRPr lang="de-DE"/>
          </a:p>
        </c:txPr>
        <c:crossAx val="111111111"/>
        <c:crosses val="autoZero"/>
        <c:majorGridlines>
          <c:spPr>
            <a:ln w="3175">
              <a:solidFill>
                <a:srgbClr val="21262D"/>
              </a:solidFill>
              <a:prstDash val="solid"/>
            </a:ln>
          </c:spPr>
        </c:majorGridlines>
      </c:valAx>
      <c:spPr>
        <a:noFill/>
        <a:ln>
          <a:noFill/>
        </a:ln>
      </c:spPr>
    </c:plotArea>
    <c:legend>
      <c:legendPos val="b"/>
      <c:overlay val="0"/>
      <c:txPr>
        <a:bodyPr rot="0" vert="horz"/>
        <a:lstStyle/>
        <a:p>
          <a:pPr>
            <a:defRPr sz="1000">
              <a:solidFill>
                <a:srgbClr val="C9D1D9"/>
              </a:solidFill>
              <a:latin typeface="Segoe UI"/>
            </a:defRPr>
          </a:pPr>
          <a:endParaRPr lang="de-DE"/>
        </a:p>
      </c:txPr>
      <c:spPr>
        <a:noFill/>
        <a:ln>
          <a:noFill/>
        </a:ln>
      </c:spPr>
    </c:legend>
    <c:plotVisOnly val="1"/>
    <c:dispBlanksAs val="gap"/>
  </c:chart>
  <c:spPr>
    <a:solidFill>
      <a:srgbClr val="161B22"/>
    </a:solidFill>
    <a:ln w="9525">
      <a:solidFill>
        <a:srgbClr val="30363D"/>
      </a:solidFill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48</xdr:row>
      <xdr:rowOff>0</xdr:rowOff>
    </xdr:from>
    <xdr:to>
      <xdr:col>6</xdr:col>
      <xdr:colOff>0</xdr:colOff>
      <xdr:row>63</xdr:row>
      <xdr:rowOff>0</xdr:rowOff>
    </xdr:to>
    <xdr:graphicFrame macro="">
      <xdr:nvGraphicFramePr>
        <xdr:cNvPr id="2" name="Pie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11</xdr:col>
      <xdr:colOff>0</xdr:colOff>
      <xdr:row>63</xdr:row>
      <xdr:rowOff>0</xdr:rowOff>
    </xdr:to>
    <xdr:graphicFrame macro="">
      <xdr:nvGraphicFramePr>
        <xdr:cNvPr id="3" name="Bar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853"/>
  </sheetPr>
  <dimension ref="A1:L70"/>
  <sheetFormatPr defaultRowHeight="22" outlineLevelRow="0" outlineLevelCol="0" x14ac:dyDescent="55" customHeight="1"/>
  <cols>
    <col min="1" max="1" width="3" customWidth="1"/>
    <col min="2" max="11" width="15" customWidth="1"/>
    <col min="12" max="12" width="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50" customHeight="1" spans="1:12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ht="25" customHeight="1" spans="1:12" x14ac:dyDescent="0.25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ht="4" customHeight="1" spans="1:12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2" customHeight="1" spans="1:12" x14ac:dyDescent="0.25">
      <c r="A6" s="1"/>
      <c r="B6" s="5" t="s">
        <v>2</v>
      </c>
      <c r="C6" s="5"/>
      <c r="D6" s="6" t="s">
        <v>3</v>
      </c>
      <c r="E6" s="6"/>
      <c r="F6" s="7" t="s">
        <v>4</v>
      </c>
      <c r="G6" s="7"/>
      <c r="H6" s="8" t="s">
        <v>5</v>
      </c>
      <c r="I6" s="8"/>
      <c r="J6" s="9" t="s">
        <v>6</v>
      </c>
      <c r="K6" s="9"/>
      <c r="L6" s="1"/>
    </row>
    <row r="7" ht="42" customHeight="1" spans="1:12" x14ac:dyDescent="0.25">
      <c r="A7" s="1"/>
      <c r="B7" s="10">
        <f>Konten!G15</f>
      </c>
      <c r="C7" s="10"/>
      <c r="D7" s="11">
        <f>SUMPRODUCT((Transaktionen!D4:D500="Einnahme")*(MONTH(Transaktionen!C4:C500)=MONTH(TODAY()))*(YEAR(Transaktionen!C4:C500)=YEAR(TODAY()))*Transaktionen!E4:E500)</f>
      </c>
      <c r="E7" s="11"/>
      <c r="F7" s="12">
        <f>SUMPRODUCT((Transaktionen!D4:D500="Ausgabe")*(MONTH(Transaktionen!C4:C500)=MONTH(TODAY()))*(YEAR(Transaktionen!C4:C500)=YEAR(TODAY()))*Transaktionen!E4:E500)</f>
      </c>
      <c r="G7" s="12"/>
      <c r="H7" s="13">
        <f>D7-F7</f>
      </c>
      <c r="I7" s="13"/>
      <c r="J7" s="14">
        <f>IF(D7=0,0,(D7-F7)/D7)</f>
      </c>
      <c r="K7" s="14"/>
      <c r="L7" s="1"/>
    </row>
    <row r="8" ht="18" customHeight="1" spans="1:12" x14ac:dyDescent="0.25">
      <c r="A8" s="1"/>
      <c r="B8" s="15"/>
      <c r="C8" s="15"/>
      <c r="D8" s="16"/>
      <c r="E8" s="16"/>
      <c r="F8" s="17"/>
      <c r="G8" s="17"/>
      <c r="H8" s="18"/>
      <c r="I8" s="18"/>
      <c r="J8" s="19"/>
      <c r="K8" s="19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32" customHeight="1" spans="1:12" x14ac:dyDescent="0.25">
      <c r="A10" s="1"/>
      <c r="B10" s="20" t="s">
        <v>7</v>
      </c>
      <c r="C10" s="20"/>
      <c r="D10" s="20"/>
      <c r="E10" s="20"/>
      <c r="F10" s="20"/>
      <c r="G10" s="1"/>
      <c r="H10" s="20" t="s">
        <v>8</v>
      </c>
      <c r="I10" s="20"/>
      <c r="J10" s="20"/>
      <c r="K10" s="20"/>
      <c r="L10" s="1"/>
    </row>
    <row r="11" spans="1:12" x14ac:dyDescent="0.25">
      <c r="A11" s="1"/>
      <c r="B11" s="21" t="s">
        <v>9</v>
      </c>
      <c r="C11" s="21"/>
      <c r="D11" s="21"/>
      <c r="E11" s="21"/>
      <c r="F11" s="21"/>
      <c r="G11" s="1"/>
      <c r="H11" s="21" t="s">
        <v>10</v>
      </c>
      <c r="I11" s="21"/>
      <c r="J11" s="21"/>
      <c r="K11" s="21"/>
      <c r="L11" s="1"/>
    </row>
    <row r="12" ht="36" customHeight="1" spans="1:12" x14ac:dyDescent="0.25">
      <c r="A12" s="22" t="s">
        <v>11</v>
      </c>
      <c r="B12" s="22" t="s">
        <v>11</v>
      </c>
      <c r="C12" s="22" t="s">
        <v>11</v>
      </c>
      <c r="D12" s="22" t="s">
        <v>11</v>
      </c>
      <c r="E12" s="22" t="s">
        <v>11</v>
      </c>
      <c r="F12" s="22" t="s">
        <v>11</v>
      </c>
      <c r="G12" s="22" t="s">
        <v>11</v>
      </c>
      <c r="H12" s="22" t="s">
        <v>12</v>
      </c>
      <c r="I12" s="22" t="s">
        <v>13</v>
      </c>
      <c r="J12" s="22" t="s">
        <v>14</v>
      </c>
      <c r="K12" s="22" t="s">
        <v>15</v>
      </c>
      <c r="L12" s="1"/>
    </row>
    <row r="13" spans="1:12" x14ac:dyDescent="0.25">
      <c r="A13" s="23"/>
      <c r="B13" s="24" t="s">
        <v>16</v>
      </c>
      <c r="C13" s="25">
        <f>SUMPRODUCT((Transaktionen!D$4:D$500="Einnahme")*(MONTH(Transaktionen!C$4:C$500)=1)*(YEAR(Transaktionen!C$4:C$500)=YEAR(TODAY()))*Transaktionen!E$4:E$500)</f>
      </c>
      <c r="D13" s="26">
        <f>SUMPRODUCT((Transaktionen!D$4:D$500="Ausgabe")*(MONTH(Transaktionen!C$4:C$500)=1)*(YEAR(Transaktionen!C$4:C$500)=YEAR(TODAY()))*Transaktionen!E$4:E$500)</f>
      </c>
      <c r="E13" s="27">
        <f>C13-D13</f>
      </c>
      <c r="F13" s="28">
        <f>IF(C13=0,0,E13/C13)</f>
      </c>
      <c r="G13" s="1"/>
      <c r="H13" s="24">
        <f>IF(Budgets!B4="","",Budgets!B4)</f>
      </c>
      <c r="I13" s="29">
        <f>IF(H13="","",Budgets!C4)</f>
      </c>
      <c r="J13" s="26">
        <f>IF(H13="","",SUMPRODUCT((Transaktionen!D$4:D$500="Ausgabe")*(Transaktionen!F$4:F$500=H13)*(MONTH(Transaktionen!C$4:C$500)=MONTH(TODAY()))*(YEAR(Transaktionen!C$4:C$500)=YEAR(TODAY()))*Transaktionen!E$4:E$500))</f>
      </c>
      <c r="K13" s="30">
        <f>IF(OR(H13="",I13=0),"",IF(J13/I13&gt;1,"OVER",IF(J13/I13&gt;0.8,"WARN",TEXT(J13/I13,"0%"))))</f>
      </c>
      <c r="L13" s="1"/>
    </row>
    <row r="14" spans="1:12" x14ac:dyDescent="0.25">
      <c r="A14" s="23"/>
      <c r="B14" s="31" t="s">
        <v>17</v>
      </c>
      <c r="C14" s="32">
        <f>SUMPRODUCT((Transaktionen!D$4:D$500="Einnahme")*(MONTH(Transaktionen!C$4:C$500)=2)*(YEAR(Transaktionen!C$4:C$500)=YEAR(TODAY()))*Transaktionen!E$4:E$500)</f>
      </c>
      <c r="D14" s="33">
        <f>SUMPRODUCT((Transaktionen!D$4:D$500="Ausgabe")*(MONTH(Transaktionen!C$4:C$500)=2)*(YEAR(Transaktionen!C$4:C$500)=YEAR(TODAY()))*Transaktionen!E$4:E$500)</f>
      </c>
      <c r="E14" s="34">
        <f>C14-D14</f>
      </c>
      <c r="F14" s="35">
        <f>IF(C14=0,0,E14/C14)</f>
      </c>
      <c r="G14" s="1"/>
      <c r="H14" s="31">
        <f>IF(Budgets!B5="","",Budgets!B5)</f>
      </c>
      <c r="I14" s="36">
        <f>IF(H14="","",Budgets!C5)</f>
      </c>
      <c r="J14" s="33">
        <f>IF(H14="","",SUMPRODUCT((Transaktionen!D$4:D$500="Ausgabe")*(Transaktionen!F$4:F$500=H14)*(MONTH(Transaktionen!C$4:C$500)=MONTH(TODAY()))*(YEAR(Transaktionen!C$4:C$500)=YEAR(TODAY()))*Transaktionen!E$4:E$500))</f>
      </c>
      <c r="K14" s="37">
        <f>IF(OR(H14="",I14=0),"",IF(J14/I14&gt;1,"OVER",IF(J14/I14&gt;0.8,"WARN",TEXT(J14/I14,"0%"))))</f>
      </c>
      <c r="L14" s="1"/>
    </row>
    <row r="15" spans="1:12" x14ac:dyDescent="0.25">
      <c r="A15" s="23"/>
      <c r="B15" s="24" t="s">
        <v>18</v>
      </c>
      <c r="C15" s="25">
        <f>SUMPRODUCT((Transaktionen!D$4:D$500="Einnahme")*(MONTH(Transaktionen!C$4:C$500)=3)*(YEAR(Transaktionen!C$4:C$500)=YEAR(TODAY()))*Transaktionen!E$4:E$500)</f>
      </c>
      <c r="D15" s="26">
        <f>SUMPRODUCT((Transaktionen!D$4:D$500="Ausgabe")*(MONTH(Transaktionen!C$4:C$500)=3)*(YEAR(Transaktionen!C$4:C$500)=YEAR(TODAY()))*Transaktionen!E$4:E$500)</f>
      </c>
      <c r="E15" s="27">
        <f>C15-D15</f>
      </c>
      <c r="F15" s="28">
        <f>IF(C15=0,0,E15/C15)</f>
      </c>
      <c r="G15" s="1"/>
      <c r="H15" s="24">
        <f>IF(Budgets!B6="","",Budgets!B6)</f>
      </c>
      <c r="I15" s="29">
        <f>IF(H15="","",Budgets!C6)</f>
      </c>
      <c r="J15" s="26">
        <f>IF(H15="","",SUMPRODUCT((Transaktionen!D$4:D$500="Ausgabe")*(Transaktionen!F$4:F$500=H15)*(MONTH(Transaktionen!C$4:C$500)=MONTH(TODAY()))*(YEAR(Transaktionen!C$4:C$500)=YEAR(TODAY()))*Transaktionen!E$4:E$500))</f>
      </c>
      <c r="K15" s="30">
        <f>IF(OR(H15="",I15=0),"",IF(J15/I15&gt;1,"OVER",IF(J15/I15&gt;0.8,"WARN",TEXT(J15/I15,"0%"))))</f>
      </c>
      <c r="L15" s="1"/>
    </row>
    <row r="16" spans="1:12" x14ac:dyDescent="0.25">
      <c r="A16" s="23"/>
      <c r="B16" s="31" t="s">
        <v>19</v>
      </c>
      <c r="C16" s="32">
        <f>SUMPRODUCT((Transaktionen!D$4:D$500="Einnahme")*(MONTH(Transaktionen!C$4:C$500)=4)*(YEAR(Transaktionen!C$4:C$500)=YEAR(TODAY()))*Transaktionen!E$4:E$500)</f>
      </c>
      <c r="D16" s="33">
        <f>SUMPRODUCT((Transaktionen!D$4:D$500="Ausgabe")*(MONTH(Transaktionen!C$4:C$500)=4)*(YEAR(Transaktionen!C$4:C$500)=YEAR(TODAY()))*Transaktionen!E$4:E$500)</f>
      </c>
      <c r="E16" s="34">
        <f>C16-D16</f>
      </c>
      <c r="F16" s="35">
        <f>IF(C16=0,0,E16/C16)</f>
      </c>
      <c r="G16" s="1"/>
      <c r="H16" s="31">
        <f>IF(Budgets!B7="","",Budgets!B7)</f>
      </c>
      <c r="I16" s="36">
        <f>IF(H16="","",Budgets!C7)</f>
      </c>
      <c r="J16" s="33">
        <f>IF(H16="","",SUMPRODUCT((Transaktionen!D$4:D$500="Ausgabe")*(Transaktionen!F$4:F$500=H16)*(MONTH(Transaktionen!C$4:C$500)=MONTH(TODAY()))*(YEAR(Transaktionen!C$4:C$500)=YEAR(TODAY()))*Transaktionen!E$4:E$500))</f>
      </c>
      <c r="K16" s="37">
        <f>IF(OR(H16="",I16=0),"",IF(J16/I16&gt;1,"OVER",IF(J16/I16&gt;0.8,"WARN",TEXT(J16/I16,"0%"))))</f>
      </c>
      <c r="L16" s="1"/>
    </row>
    <row r="17" spans="1:12" x14ac:dyDescent="0.25">
      <c r="A17" s="23"/>
      <c r="B17" s="24" t="s">
        <v>20</v>
      </c>
      <c r="C17" s="25">
        <f>SUMPRODUCT((Transaktionen!D$4:D$500="Einnahme")*(MONTH(Transaktionen!C$4:C$500)=5)*(YEAR(Transaktionen!C$4:C$500)=YEAR(TODAY()))*Transaktionen!E$4:E$500)</f>
      </c>
      <c r="D17" s="26">
        <f>SUMPRODUCT((Transaktionen!D$4:D$500="Ausgabe")*(MONTH(Transaktionen!C$4:C$500)=5)*(YEAR(Transaktionen!C$4:C$500)=YEAR(TODAY()))*Transaktionen!E$4:E$500)</f>
      </c>
      <c r="E17" s="27">
        <f>C17-D17</f>
      </c>
      <c r="F17" s="28">
        <f>IF(C17=0,0,E17/C17)</f>
      </c>
      <c r="G17" s="1"/>
      <c r="H17" s="24">
        <f>IF(Budgets!B8="","",Budgets!B8)</f>
      </c>
      <c r="I17" s="29">
        <f>IF(H17="","",Budgets!C8)</f>
      </c>
      <c r="J17" s="26">
        <f>IF(H17="","",SUMPRODUCT((Transaktionen!D$4:D$500="Ausgabe")*(Transaktionen!F$4:F$500=H17)*(MONTH(Transaktionen!C$4:C$500)=MONTH(TODAY()))*(YEAR(Transaktionen!C$4:C$500)=YEAR(TODAY()))*Transaktionen!E$4:E$500))</f>
      </c>
      <c r="K17" s="30">
        <f>IF(OR(H17="",I17=0),"",IF(J17/I17&gt;1,"OVER",IF(J17/I17&gt;0.8,"WARN",TEXT(J17/I17,"0%"))))</f>
      </c>
      <c r="L17" s="1"/>
    </row>
    <row r="18" spans="1:12" x14ac:dyDescent="0.25">
      <c r="A18" s="23"/>
      <c r="B18" s="31" t="s">
        <v>21</v>
      </c>
      <c r="C18" s="32">
        <f>SUMPRODUCT((Transaktionen!D$4:D$500="Einnahme")*(MONTH(Transaktionen!C$4:C$500)=6)*(YEAR(Transaktionen!C$4:C$500)=YEAR(TODAY()))*Transaktionen!E$4:E$500)</f>
      </c>
      <c r="D18" s="33">
        <f>SUMPRODUCT((Transaktionen!D$4:D$500="Ausgabe")*(MONTH(Transaktionen!C$4:C$500)=6)*(YEAR(Transaktionen!C$4:C$500)=YEAR(TODAY()))*Transaktionen!E$4:E$500)</f>
      </c>
      <c r="E18" s="34">
        <f>C18-D18</f>
      </c>
      <c r="F18" s="35">
        <f>IF(C18=0,0,E18/C18)</f>
      </c>
      <c r="G18" s="1"/>
      <c r="H18" s="31">
        <f>IF(Budgets!B9="","",Budgets!B9)</f>
      </c>
      <c r="I18" s="36">
        <f>IF(H18="","",Budgets!C9)</f>
      </c>
      <c r="J18" s="33">
        <f>IF(H18="","",SUMPRODUCT((Transaktionen!D$4:D$500="Ausgabe")*(Transaktionen!F$4:F$500=H18)*(MONTH(Transaktionen!C$4:C$500)=MONTH(TODAY()))*(YEAR(Transaktionen!C$4:C$500)=YEAR(TODAY()))*Transaktionen!E$4:E$500))</f>
      </c>
      <c r="K18" s="37">
        <f>IF(OR(H18="",I18=0),"",IF(J18/I18&gt;1,"OVER",IF(J18/I18&gt;0.8,"WARN",TEXT(J18/I18,"0%"))))</f>
      </c>
      <c r="L18" s="1"/>
    </row>
    <row r="19" spans="1:12" x14ac:dyDescent="0.25">
      <c r="A19" s="23"/>
      <c r="B19" s="24" t="s">
        <v>22</v>
      </c>
      <c r="C19" s="25">
        <f>SUMPRODUCT((Transaktionen!D$4:D$500="Einnahme")*(MONTH(Transaktionen!C$4:C$500)=7)*(YEAR(Transaktionen!C$4:C$500)=YEAR(TODAY()))*Transaktionen!E$4:E$500)</f>
      </c>
      <c r="D19" s="26">
        <f>SUMPRODUCT((Transaktionen!D$4:D$500="Ausgabe")*(MONTH(Transaktionen!C$4:C$500)=7)*(YEAR(Transaktionen!C$4:C$500)=YEAR(TODAY()))*Transaktionen!E$4:E$500)</f>
      </c>
      <c r="E19" s="27">
        <f>C19-D19</f>
      </c>
      <c r="F19" s="28">
        <f>IF(C19=0,0,E19/C19)</f>
      </c>
      <c r="G19" s="1"/>
      <c r="H19" s="24">
        <f>IF(Budgets!B10="","",Budgets!B10)</f>
      </c>
      <c r="I19" s="29">
        <f>IF(H19="","",Budgets!C10)</f>
      </c>
      <c r="J19" s="26">
        <f>IF(H19="","",SUMPRODUCT((Transaktionen!D$4:D$500="Ausgabe")*(Transaktionen!F$4:F$500=H19)*(MONTH(Transaktionen!C$4:C$500)=MONTH(TODAY()))*(YEAR(Transaktionen!C$4:C$500)=YEAR(TODAY()))*Transaktionen!E$4:E$500))</f>
      </c>
      <c r="K19" s="30">
        <f>IF(OR(H19="",I19=0),"",IF(J19/I19&gt;1,"OVER",IF(J19/I19&gt;0.8,"WARN",TEXT(J19/I19,"0%"))))</f>
      </c>
      <c r="L19" s="1"/>
    </row>
    <row r="20" spans="1:12" x14ac:dyDescent="0.25">
      <c r="A20" s="23"/>
      <c r="B20" s="31" t="s">
        <v>23</v>
      </c>
      <c r="C20" s="32">
        <f>SUMPRODUCT((Transaktionen!D$4:D$500="Einnahme")*(MONTH(Transaktionen!C$4:C$500)=8)*(YEAR(Transaktionen!C$4:C$500)=YEAR(TODAY()))*Transaktionen!E$4:E$500)</f>
      </c>
      <c r="D20" s="33">
        <f>SUMPRODUCT((Transaktionen!D$4:D$500="Ausgabe")*(MONTH(Transaktionen!C$4:C$500)=8)*(YEAR(Transaktionen!C$4:C$500)=YEAR(TODAY()))*Transaktionen!E$4:E$500)</f>
      </c>
      <c r="E20" s="34">
        <f>C20-D20</f>
      </c>
      <c r="F20" s="35">
        <f>IF(C20=0,0,E20/C20)</f>
      </c>
      <c r="G20" s="1"/>
      <c r="H20" s="31">
        <f>IF(Budgets!B11="","",Budgets!B11)</f>
      </c>
      <c r="I20" s="36">
        <f>IF(H20="","",Budgets!C11)</f>
      </c>
      <c r="J20" s="33">
        <f>IF(H20="","",SUMPRODUCT((Transaktionen!D$4:D$500="Ausgabe")*(Transaktionen!F$4:F$500=H20)*(MONTH(Transaktionen!C$4:C$500)=MONTH(TODAY()))*(YEAR(Transaktionen!C$4:C$500)=YEAR(TODAY()))*Transaktionen!E$4:E$500))</f>
      </c>
      <c r="K20" s="37">
        <f>IF(OR(H20="",I20=0),"",IF(J20/I20&gt;1,"OVER",IF(J20/I20&gt;0.8,"WARN",TEXT(J20/I20,"0%"))))</f>
      </c>
      <c r="L20" s="1"/>
    </row>
    <row r="21" spans="1:12" x14ac:dyDescent="0.25">
      <c r="A21" s="23"/>
      <c r="B21" s="24" t="s">
        <v>24</v>
      </c>
      <c r="C21" s="25">
        <f>SUMPRODUCT((Transaktionen!D$4:D$500="Einnahme")*(MONTH(Transaktionen!C$4:C$500)=9)*(YEAR(Transaktionen!C$4:C$500)=YEAR(TODAY()))*Transaktionen!E$4:E$500)</f>
      </c>
      <c r="D21" s="26">
        <f>SUMPRODUCT((Transaktionen!D$4:D$500="Ausgabe")*(MONTH(Transaktionen!C$4:C$500)=9)*(YEAR(Transaktionen!C$4:C$500)=YEAR(TODAY()))*Transaktionen!E$4:E$500)</f>
      </c>
      <c r="E21" s="27">
        <f>C21-D21</f>
      </c>
      <c r="F21" s="28">
        <f>IF(C21=0,0,E21/C21)</f>
      </c>
      <c r="G21" s="1"/>
      <c r="H21" s="38" t="s">
        <v>25</v>
      </c>
      <c r="I21" s="39">
        <f>SUM(I13:I20)</f>
      </c>
      <c r="J21" s="39">
        <f>SUM(J13:J20)</f>
      </c>
      <c r="K21" s="38">
        <f>IF(I21=0,"",TEXT(J21/I21,"0%"))</f>
      </c>
      <c r="L21" s="1"/>
    </row>
    <row r="22" spans="1:12" x14ac:dyDescent="0.25">
      <c r="A22" s="23"/>
      <c r="B22" s="31" t="s">
        <v>26</v>
      </c>
      <c r="C22" s="32">
        <f>SUMPRODUCT((Transaktionen!D$4:D$500="Einnahme")*(MONTH(Transaktionen!C$4:C$500)=10)*(YEAR(Transaktionen!C$4:C$500)=YEAR(TODAY()))*Transaktionen!E$4:E$500)</f>
      </c>
      <c r="D22" s="33">
        <f>SUMPRODUCT((Transaktionen!D$4:D$500="Ausgabe")*(MONTH(Transaktionen!C$4:C$500)=10)*(YEAR(Transaktionen!C$4:C$500)=YEAR(TODAY()))*Transaktionen!E$4:E$500)</f>
      </c>
      <c r="E22" s="34">
        <f>C22-D22</f>
      </c>
      <c r="F22" s="35">
        <f>IF(C22=0,0,E22/C22)</f>
      </c>
      <c r="G22" s="1"/>
      <c r="H22" s="1"/>
      <c r="I22" s="1"/>
      <c r="J22" s="1"/>
      <c r="K22" s="1"/>
      <c r="L22" s="1"/>
    </row>
    <row r="23" spans="1:12" x14ac:dyDescent="0.25">
      <c r="A23" s="23"/>
      <c r="B23" s="24" t="s">
        <v>27</v>
      </c>
      <c r="C23" s="25">
        <f>SUMPRODUCT((Transaktionen!D$4:D$500="Einnahme")*(MONTH(Transaktionen!C$4:C$500)=11)*(YEAR(Transaktionen!C$4:C$500)=YEAR(TODAY()))*Transaktionen!E$4:E$500)</f>
      </c>
      <c r="D23" s="26">
        <f>SUMPRODUCT((Transaktionen!D$4:D$500="Ausgabe")*(MONTH(Transaktionen!C$4:C$500)=11)*(YEAR(Transaktionen!C$4:C$500)=YEAR(TODAY()))*Transaktionen!E$4:E$500)</f>
      </c>
      <c r="E23" s="27">
        <f>C23-D23</f>
      </c>
      <c r="F23" s="28">
        <f>IF(C23=0,0,E23/C23)</f>
      </c>
      <c r="G23" s="1"/>
      <c r="H23" s="1"/>
      <c r="I23" s="1"/>
      <c r="J23" s="1"/>
      <c r="K23" s="1"/>
      <c r="L23" s="1"/>
    </row>
    <row r="24" spans="1:12" x14ac:dyDescent="0.25">
      <c r="A24" s="23"/>
      <c r="B24" s="31" t="s">
        <v>28</v>
      </c>
      <c r="C24" s="32">
        <f>SUMPRODUCT((Transaktionen!D$4:D$500="Einnahme")*(MONTH(Transaktionen!C$4:C$500)=12)*(YEAR(Transaktionen!C$4:C$500)=YEAR(TODAY()))*Transaktionen!E$4:E$500)</f>
      </c>
      <c r="D24" s="33">
        <f>SUMPRODUCT((Transaktionen!D$4:D$500="Ausgabe")*(MONTH(Transaktionen!C$4:C$500)=12)*(YEAR(Transaktionen!C$4:C$500)=YEAR(TODAY()))*Transaktionen!E$4:E$500)</f>
      </c>
      <c r="E24" s="34">
        <f>C24-D24</f>
      </c>
      <c r="F24" s="35">
        <f>IF(C24=0,0,E24/C24)</f>
      </c>
      <c r="G24" s="1"/>
      <c r="H24" s="1"/>
      <c r="I24" s="1"/>
      <c r="J24" s="1"/>
      <c r="K24" s="1"/>
      <c r="L24" s="1"/>
    </row>
    <row r="25" ht="32" customHeight="1" spans="1:12" x14ac:dyDescent="0.25">
      <c r="A25" s="40"/>
      <c r="B25" s="40" t="s">
        <v>29</v>
      </c>
      <c r="C25" s="41">
        <f>SUM(C13:C24)</f>
      </c>
      <c r="D25" s="41">
        <f>SUM(D13:D24)</f>
      </c>
      <c r="E25" s="41">
        <f>C25-D25</f>
      </c>
      <c r="F25" s="42">
        <f>IF(C25=0,0,E25/C25)</f>
      </c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32" customHeight="1" spans="1:12" x14ac:dyDescent="0.25">
      <c r="A27" s="1"/>
      <c r="B27" s="20" t="s">
        <v>30</v>
      </c>
      <c r="C27" s="20"/>
      <c r="D27" s="20"/>
      <c r="E27" s="20"/>
      <c r="F27" s="20"/>
      <c r="G27" s="20"/>
      <c r="H27" s="20"/>
      <c r="I27" s="20"/>
      <c r="J27" s="20"/>
      <c r="K27" s="20"/>
      <c r="L27" s="1"/>
    </row>
    <row r="28" spans="1:12" x14ac:dyDescent="0.25">
      <c r="A28" s="1"/>
      <c r="B28" s="21" t="s">
        <v>31</v>
      </c>
      <c r="C28" s="21"/>
      <c r="D28" s="21"/>
      <c r="E28" s="21"/>
      <c r="F28" s="21"/>
      <c r="G28" s="21"/>
      <c r="H28" s="21"/>
      <c r="I28" s="21"/>
      <c r="J28" s="21"/>
      <c r="K28" s="21"/>
      <c r="L28" s="1"/>
    </row>
    <row r="29" ht="36" customHeight="1" spans="1:12" x14ac:dyDescent="0.25">
      <c r="A29" s="22" t="s">
        <v>11</v>
      </c>
      <c r="B29" s="22" t="s">
        <v>32</v>
      </c>
      <c r="C29" s="22" t="s">
        <v>33</v>
      </c>
      <c r="D29" s="22" t="s">
        <v>34</v>
      </c>
      <c r="E29" s="22" t="s">
        <v>35</v>
      </c>
      <c r="F29" s="22" t="s">
        <v>36</v>
      </c>
      <c r="G29" s="22" t="s">
        <v>37</v>
      </c>
      <c r="H29" s="22" t="s">
        <v>11</v>
      </c>
      <c r="I29" s="22" t="s">
        <v>11</v>
      </c>
      <c r="J29" s="22" t="s">
        <v>11</v>
      </c>
      <c r="K29" s="22" t="s">
        <v>11</v>
      </c>
      <c r="L29" s="1"/>
    </row>
    <row r="30" spans="1:12" x14ac:dyDescent="0.25">
      <c r="A30" s="23"/>
      <c r="B30" s="24">
        <f>IF(Konten!B4="","",Konten!B4)</f>
      </c>
      <c r="C30" s="43">
        <f>IF(B30="","",Konten!C4)</f>
      </c>
      <c r="D30" s="29">
        <f>IF(B30="","",Konten!D4)</f>
      </c>
      <c r="E30" s="25">
        <f>IF(B30="","",Konten!E4)</f>
      </c>
      <c r="F30" s="26">
        <f>IF(B30="","",Konten!F4)</f>
      </c>
      <c r="G30" s="44">
        <f>IF(B30="","",Konten!G4)</f>
      </c>
      <c r="H30" s="1"/>
      <c r="I30" s="1"/>
      <c r="J30" s="1"/>
      <c r="K30" s="1"/>
      <c r="L30" s="1"/>
    </row>
    <row r="31" spans="1:12" x14ac:dyDescent="0.25">
      <c r="A31" s="23"/>
      <c r="B31" s="31">
        <f>IF(Konten!B5="","",Konten!B5)</f>
      </c>
      <c r="C31" s="45">
        <f>IF(B31="","",Konten!C5)</f>
      </c>
      <c r="D31" s="36">
        <f>IF(B31="","",Konten!D5)</f>
      </c>
      <c r="E31" s="32">
        <f>IF(B31="","",Konten!E5)</f>
      </c>
      <c r="F31" s="33">
        <f>IF(B31="","",Konten!F5)</f>
      </c>
      <c r="G31" s="46">
        <f>IF(B31="","",Konten!G5)</f>
      </c>
      <c r="H31" s="1"/>
      <c r="I31" s="1"/>
      <c r="J31" s="1"/>
      <c r="K31" s="1"/>
      <c r="L31" s="1"/>
    </row>
    <row r="32" spans="1:12" x14ac:dyDescent="0.25">
      <c r="A32" s="23"/>
      <c r="B32" s="24">
        <f>IF(Konten!B6="","",Konten!B6)</f>
      </c>
      <c r="C32" s="43">
        <f>IF(B32="","",Konten!C6)</f>
      </c>
      <c r="D32" s="29">
        <f>IF(B32="","",Konten!D6)</f>
      </c>
      <c r="E32" s="25">
        <f>IF(B32="","",Konten!E6)</f>
      </c>
      <c r="F32" s="26">
        <f>IF(B32="","",Konten!F6)</f>
      </c>
      <c r="G32" s="44">
        <f>IF(B32="","",Konten!G6)</f>
      </c>
      <c r="H32" s="1"/>
      <c r="I32" s="1"/>
      <c r="J32" s="1"/>
      <c r="K32" s="1"/>
      <c r="L32" s="1"/>
    </row>
    <row r="33" spans="1:12" x14ac:dyDescent="0.25">
      <c r="A33" s="23"/>
      <c r="B33" s="31">
        <f>IF(Konten!B7="","",Konten!B7)</f>
      </c>
      <c r="C33" s="45">
        <f>IF(B33="","",Konten!C7)</f>
      </c>
      <c r="D33" s="36">
        <f>IF(B33="","",Konten!D7)</f>
      </c>
      <c r="E33" s="32">
        <f>IF(B33="","",Konten!E7)</f>
      </c>
      <c r="F33" s="33">
        <f>IF(B33="","",Konten!F7)</f>
      </c>
      <c r="G33" s="46">
        <f>IF(B33="","",Konten!G7)</f>
      </c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32" customHeight="1" spans="1:12" x14ac:dyDescent="0.25">
      <c r="A36" s="1"/>
      <c r="B36" s="20" t="s">
        <v>38</v>
      </c>
      <c r="C36" s="20"/>
      <c r="D36" s="20"/>
      <c r="E36" s="20"/>
      <c r="F36" s="20"/>
      <c r="G36" s="20"/>
      <c r="H36" s="20" t="s">
        <v>39</v>
      </c>
      <c r="I36" s="20"/>
      <c r="J36" s="20"/>
      <c r="K36" s="20"/>
      <c r="L36" s="1"/>
    </row>
    <row r="37" spans="1:12" x14ac:dyDescent="0.25">
      <c r="A37" s="1"/>
      <c r="B37" s="21" t="s">
        <v>40</v>
      </c>
      <c r="C37" s="21"/>
      <c r="D37" s="21"/>
      <c r="E37" s="21"/>
      <c r="F37" s="21"/>
      <c r="G37" s="21"/>
      <c r="H37" s="21" t="s">
        <v>41</v>
      </c>
      <c r="I37" s="21"/>
      <c r="J37" s="21"/>
      <c r="K37" s="21"/>
      <c r="L37" s="1"/>
    </row>
    <row r="38" ht="36" customHeight="1" spans="1:12" x14ac:dyDescent="0.25">
      <c r="A38" s="22" t="s">
        <v>11</v>
      </c>
      <c r="B38" s="22" t="s">
        <v>11</v>
      </c>
      <c r="C38" s="22" t="s">
        <v>11</v>
      </c>
      <c r="D38" s="22" t="s">
        <v>11</v>
      </c>
      <c r="E38" s="22" t="s">
        <v>11</v>
      </c>
      <c r="F38" s="22" t="s">
        <v>11</v>
      </c>
      <c r="G38" s="22" t="s">
        <v>11</v>
      </c>
      <c r="H38" s="22" t="s">
        <v>42</v>
      </c>
      <c r="I38" s="22" t="s">
        <v>43</v>
      </c>
      <c r="J38" s="22" t="s">
        <v>44</v>
      </c>
      <c r="K38" s="22" t="s">
        <v>33</v>
      </c>
      <c r="L38" s="1"/>
    </row>
    <row r="39" spans="1:12" x14ac:dyDescent="0.25">
      <c r="A39" s="23"/>
      <c r="B39" s="24">
        <f>IF(H13="","",H13)</f>
      </c>
      <c r="C39" s="26">
        <f>IF(B39="","",J13)</f>
      </c>
      <c r="D39" s="28">
        <f>IF(OR(B39="",SUM(C$39:C$46)=0),"",C39/SUM(C$39:C$46))</f>
      </c>
      <c r="E39" s="47">
        <f>IF(D39="","",REPT("█",ROUND(D39*30,0)))</f>
      </c>
      <c r="F39" s="47"/>
      <c r="G39" s="47"/>
      <c r="H39" s="48">
        <f>IF(Transaktionen!B4="","",Transaktionen!B4)</f>
      </c>
      <c r="I39" s="49">
        <f>IF(H39="","",Transaktionen!C4)</f>
      </c>
      <c r="J39" s="50">
        <f>IF(H39="","",Transaktionen!E4)</f>
      </c>
      <c r="K39" s="51">
        <f>IF(H39="","",Transaktionen!D4)</f>
      </c>
      <c r="L39" s="1"/>
    </row>
    <row r="40" spans="1:12" x14ac:dyDescent="0.25">
      <c r="A40" s="23"/>
      <c r="B40" s="31">
        <f>IF(H14="","",H14)</f>
      </c>
      <c r="C40" s="33">
        <f>IF(B40="","",J14)</f>
      </c>
      <c r="D40" s="35">
        <f>IF(OR(B40="",SUM(C$39:C$46)=0),"",C40/SUM(C$39:C$46))</f>
      </c>
      <c r="E40" s="52">
        <f>IF(D40="","",REPT("█",ROUND(D40*30,0)))</f>
      </c>
      <c r="F40" s="52"/>
      <c r="G40" s="52"/>
      <c r="H40" s="53">
        <f>IF(Transaktionen!B5="","",Transaktionen!B5)</f>
      </c>
      <c r="I40" s="54">
        <f>IF(H40="","",Transaktionen!C5)</f>
      </c>
      <c r="J40" s="55">
        <f>IF(H40="","",Transaktionen!E5)</f>
      </c>
      <c r="K40" s="56">
        <f>IF(H40="","",Transaktionen!D5)</f>
      </c>
      <c r="L40" s="1"/>
    </row>
    <row r="41" spans="1:12" x14ac:dyDescent="0.25">
      <c r="A41" s="23"/>
      <c r="B41" s="24">
        <f>IF(H15="","",H15)</f>
      </c>
      <c r="C41" s="26">
        <f>IF(B41="","",J15)</f>
      </c>
      <c r="D41" s="28">
        <f>IF(OR(B41="",SUM(C$39:C$46)=0),"",C41/SUM(C$39:C$46))</f>
      </c>
      <c r="E41" s="47">
        <f>IF(D41="","",REPT("█",ROUND(D41*30,0)))</f>
      </c>
      <c r="F41" s="47"/>
      <c r="G41" s="47"/>
      <c r="H41" s="48">
        <f>IF(Transaktionen!B6="","",Transaktionen!B6)</f>
      </c>
      <c r="I41" s="49">
        <f>IF(H41="","",Transaktionen!C6)</f>
      </c>
      <c r="J41" s="50">
        <f>IF(H41="","",Transaktionen!E6)</f>
      </c>
      <c r="K41" s="51">
        <f>IF(H41="","",Transaktionen!D6)</f>
      </c>
      <c r="L41" s="1"/>
    </row>
    <row r="42" spans="1:12" x14ac:dyDescent="0.25">
      <c r="A42" s="23"/>
      <c r="B42" s="31">
        <f>IF(H16="","",H16)</f>
      </c>
      <c r="C42" s="33">
        <f>IF(B42="","",J16)</f>
      </c>
      <c r="D42" s="35">
        <f>IF(OR(B42="",SUM(C$39:C$46)=0),"",C42/SUM(C$39:C$46))</f>
      </c>
      <c r="E42" s="52">
        <f>IF(D42="","",REPT("█",ROUND(D42*30,0)))</f>
      </c>
      <c r="F42" s="52"/>
      <c r="G42" s="52"/>
      <c r="H42" s="53">
        <f>IF(Transaktionen!B7="","",Transaktionen!B7)</f>
      </c>
      <c r="I42" s="54">
        <f>IF(H42="","",Transaktionen!C7)</f>
      </c>
      <c r="J42" s="55">
        <f>IF(H42="","",Transaktionen!E7)</f>
      </c>
      <c r="K42" s="56">
        <f>IF(H42="","",Transaktionen!D7)</f>
      </c>
      <c r="L42" s="1"/>
    </row>
    <row r="43" spans="1:12" x14ac:dyDescent="0.25">
      <c r="A43" s="23"/>
      <c r="B43" s="24">
        <f>IF(H17="","",H17)</f>
      </c>
      <c r="C43" s="26">
        <f>IF(B43="","",J17)</f>
      </c>
      <c r="D43" s="28">
        <f>IF(OR(B43="",SUM(C$39:C$46)=0),"",C43/SUM(C$39:C$46))</f>
      </c>
      <c r="E43" s="47">
        <f>IF(D43="","",REPT("█",ROUND(D43*30,0)))</f>
      </c>
      <c r="F43" s="47"/>
      <c r="G43" s="47"/>
      <c r="H43" s="48">
        <f>IF(Transaktionen!B8="","",Transaktionen!B8)</f>
      </c>
      <c r="I43" s="49">
        <f>IF(H43="","",Transaktionen!C8)</f>
      </c>
      <c r="J43" s="50">
        <f>IF(H43="","",Transaktionen!E8)</f>
      </c>
      <c r="K43" s="51">
        <f>IF(H43="","",Transaktionen!D8)</f>
      </c>
      <c r="L43" s="1"/>
    </row>
    <row r="44" spans="1:12" x14ac:dyDescent="0.25">
      <c r="A44" s="23"/>
      <c r="B44" s="31">
        <f>IF(H18="","",H18)</f>
      </c>
      <c r="C44" s="33">
        <f>IF(B44="","",J18)</f>
      </c>
      <c r="D44" s="35">
        <f>IF(OR(B44="",SUM(C$39:C$46)=0),"",C44/SUM(C$39:C$46))</f>
      </c>
      <c r="E44" s="52">
        <f>IF(D44="","",REPT("█",ROUND(D44*30,0)))</f>
      </c>
      <c r="F44" s="52"/>
      <c r="G44" s="52"/>
      <c r="H44" s="53">
        <f>IF(Transaktionen!B9="","",Transaktionen!B9)</f>
      </c>
      <c r="I44" s="54">
        <f>IF(H44="","",Transaktionen!C9)</f>
      </c>
      <c r="J44" s="55">
        <f>IF(H44="","",Transaktionen!E9)</f>
      </c>
      <c r="K44" s="56">
        <f>IF(H44="","",Transaktionen!D9)</f>
      </c>
      <c r="L44" s="1"/>
    </row>
    <row r="45" spans="1:12" x14ac:dyDescent="0.25">
      <c r="A45" s="23"/>
      <c r="B45" s="24">
        <f>IF(H19="","",H19)</f>
      </c>
      <c r="C45" s="26">
        <f>IF(B45="","",J19)</f>
      </c>
      <c r="D45" s="28">
        <f>IF(OR(B45="",SUM(C$39:C$46)=0),"",C45/SUM(C$39:C$46))</f>
      </c>
      <c r="E45" s="47">
        <f>IF(D45="","",REPT("█",ROUND(D45*30,0)))</f>
      </c>
      <c r="F45" s="47"/>
      <c r="G45" s="47"/>
      <c r="H45" s="48">
        <f>IF(Transaktionen!B10="","",Transaktionen!B10)</f>
      </c>
      <c r="I45" s="49">
        <f>IF(H45="","",Transaktionen!C10)</f>
      </c>
      <c r="J45" s="50">
        <f>IF(H45="","",Transaktionen!E10)</f>
      </c>
      <c r="K45" s="51">
        <f>IF(H45="","",Transaktionen!D10)</f>
      </c>
      <c r="L45" s="1"/>
    </row>
    <row r="46" spans="1:12" x14ac:dyDescent="0.25">
      <c r="A46" s="23"/>
      <c r="B46" s="31">
        <f>IF(H20="","",H20)</f>
      </c>
      <c r="C46" s="33">
        <f>IF(B46="","",J20)</f>
      </c>
      <c r="D46" s="35">
        <f>IF(OR(B46="",SUM(C$39:C$46)=0),"",C46/SUM(C$39:C$46))</f>
      </c>
      <c r="E46" s="52">
        <f>IF(D46="","",REPT("█",ROUND(D46*30,0)))</f>
      </c>
      <c r="F46" s="52"/>
      <c r="G46" s="52"/>
      <c r="H46" s="53">
        <f>IF(Transaktionen!B11="","",Transaktionen!B11)</f>
      </c>
      <c r="I46" s="54">
        <f>IF(H46="","",Transaktionen!C11)</f>
      </c>
      <c r="J46" s="55">
        <f>IF(H46="","",Transaktionen!E11)</f>
      </c>
      <c r="K46" s="56">
        <f>IF(H46="","",Transaktionen!D11)</f>
      </c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32" customHeight="1" spans="1:12" x14ac:dyDescent="0.25">
      <c r="A48" s="1"/>
      <c r="B48" s="57" t="s">
        <v>45</v>
      </c>
      <c r="C48" s="57"/>
      <c r="D48" s="57"/>
      <c r="E48" s="57"/>
      <c r="F48" s="57"/>
      <c r="G48" s="57"/>
      <c r="H48" s="57"/>
      <c r="I48" s="57"/>
      <c r="J48" s="57"/>
      <c r="K48" s="57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58" t="s">
        <v>46</v>
      </c>
      <c r="C65" s="58"/>
      <c r="D65" s="58"/>
      <c r="E65" s="58"/>
      <c r="F65" s="58"/>
      <c r="G65" s="58"/>
      <c r="H65" s="58"/>
      <c r="I65" s="58"/>
      <c r="J65" s="58"/>
      <c r="K65" s="58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sheetProtection sheet="1"/>
  <mergeCells count="38">
    <mergeCell ref="B2:K2"/>
    <mergeCell ref="B3:K3"/>
    <mergeCell ref="B4:K4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10:F10"/>
    <mergeCell ref="H10:K10"/>
    <mergeCell ref="B11:F11"/>
    <mergeCell ref="H11:K11"/>
    <mergeCell ref="B27:K27"/>
    <mergeCell ref="B28:K28"/>
    <mergeCell ref="B36:G36"/>
    <mergeCell ref="H36:K36"/>
    <mergeCell ref="B37:G37"/>
    <mergeCell ref="H37:K37"/>
    <mergeCell ref="E39:G39"/>
    <mergeCell ref="E40:G40"/>
    <mergeCell ref="E41:G41"/>
    <mergeCell ref="E42:G42"/>
    <mergeCell ref="E43:G43"/>
    <mergeCell ref="E44:G44"/>
    <mergeCell ref="E45:G45"/>
    <mergeCell ref="E46:G46"/>
    <mergeCell ref="B48:K48"/>
    <mergeCell ref="B65:K65"/>
  </mergeCells>
  <conditionalFormatting sqref="K13:K20">
    <cfRule type="containsText" dxfId="0" priority="1">
      <formula>NOT(ISERROR(SEARCH("OVER",K13)))</formula>
    </cfRule>
    <cfRule type="containsText" dxfId="1" priority="2">
      <formula>NOT(ISERROR(SEARCH("WARN",K13)))</formula>
    </cfRule>
  </conditionalFormatting>
  <conditionalFormatting sqref="K39:K46">
    <cfRule type="containsText" dxfId="2" priority="3">
      <formula>NOT(ISERROR(SEARCH("Einnahme",K39)))</formula>
    </cfRule>
    <cfRule type="containsText" dxfId="3" priority="4">
      <formula>NOT(ISERROR(SEARCH("Ausgabe",K39)))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853"/>
  </sheetPr>
  <dimension ref="A1:H110"/>
  <sheetViews>
    <sheetView workbookViewId="0">
      <pane ySplit="3" topLeftCell="A4" activePane="bottomLeft" state="frozen"/>
      <selection pane="bottomLeft" activeCell="B4" sqref="B4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16" customWidth="1"/>
    <col min="4" max="4" width="14" customWidth="1"/>
    <col min="5" max="5" width="20" customWidth="1"/>
    <col min="6" max="7" width="18" customWidth="1"/>
    <col min="8" max="8" width="28" customWidth="1"/>
  </cols>
  <sheetData>
    <row r="1" ht="45" customHeight="1" spans="1:8" x14ac:dyDescent="0.25">
      <c r="A1" s="1"/>
      <c r="B1" s="59" t="s">
        <v>47</v>
      </c>
      <c r="C1" s="59"/>
      <c r="D1" s="59"/>
      <c r="E1" s="59"/>
      <c r="F1" s="59"/>
      <c r="G1" s="59"/>
      <c r="H1" s="1"/>
    </row>
    <row r="2" ht="4" customHeight="1" spans="1:8" x14ac:dyDescent="0.25">
      <c r="A2" s="1"/>
      <c r="B2" s="4"/>
      <c r="C2" s="4"/>
      <c r="D2" s="4"/>
      <c r="E2" s="4"/>
      <c r="F2" s="4"/>
      <c r="G2" s="4"/>
      <c r="H2" s="1"/>
    </row>
    <row r="3" ht="36" customHeight="1" spans="1:8" x14ac:dyDescent="0.25">
      <c r="A3" s="22" t="s">
        <v>11</v>
      </c>
      <c r="B3" s="22" t="s">
        <v>42</v>
      </c>
      <c r="C3" s="22" t="s">
        <v>43</v>
      </c>
      <c r="D3" s="22" t="s">
        <v>33</v>
      </c>
      <c r="E3" s="22" t="s">
        <v>44</v>
      </c>
      <c r="F3" s="22" t="s">
        <v>12</v>
      </c>
      <c r="G3" s="22" t="s">
        <v>32</v>
      </c>
      <c r="H3" s="22" t="s">
        <v>48</v>
      </c>
    </row>
    <row r="4" spans="1:8" x14ac:dyDescent="0.25">
      <c r="A4" s="23"/>
      <c r="B4" s="48" t="s">
        <v>49</v>
      </c>
      <c r="C4" s="49">
        <v>46054</v>
      </c>
      <c r="D4" s="60" t="s">
        <v>50</v>
      </c>
      <c r="E4" s="61">
        <v>3500</v>
      </c>
      <c r="F4" s="62" t="s">
        <v>51</v>
      </c>
      <c r="G4" s="43" t="s">
        <v>52</v>
      </c>
      <c r="H4" s="63" t="s">
        <v>53</v>
      </c>
    </row>
    <row r="5" spans="1:8" x14ac:dyDescent="0.25">
      <c r="A5" s="23"/>
      <c r="B5" s="53" t="s">
        <v>54</v>
      </c>
      <c r="C5" s="54">
        <v>46056</v>
      </c>
      <c r="D5" s="60" t="s">
        <v>50</v>
      </c>
      <c r="E5" s="64">
        <v>800</v>
      </c>
      <c r="F5" s="65" t="s">
        <v>55</v>
      </c>
      <c r="G5" s="45" t="s">
        <v>52</v>
      </c>
      <c r="H5" s="66" t="s">
        <v>56</v>
      </c>
    </row>
    <row r="6" spans="1:8" x14ac:dyDescent="0.25">
      <c r="A6" s="23"/>
      <c r="B6" s="48" t="s">
        <v>57</v>
      </c>
      <c r="C6" s="49">
        <v>46054</v>
      </c>
      <c r="D6" s="67" t="s">
        <v>58</v>
      </c>
      <c r="E6" s="68">
        <v>950</v>
      </c>
      <c r="F6" s="62" t="s">
        <v>59</v>
      </c>
      <c r="G6" s="43" t="s">
        <v>52</v>
      </c>
      <c r="H6" s="63" t="s">
        <v>60</v>
      </c>
    </row>
    <row r="7" spans="1:8" x14ac:dyDescent="0.25">
      <c r="A7" s="23"/>
      <c r="B7" s="53" t="s">
        <v>61</v>
      </c>
      <c r="C7" s="54">
        <v>46058</v>
      </c>
      <c r="D7" s="67" t="s">
        <v>58</v>
      </c>
      <c r="E7" s="69">
        <v>67.5</v>
      </c>
      <c r="F7" s="65" t="s">
        <v>62</v>
      </c>
      <c r="G7" s="45" t="s">
        <v>63</v>
      </c>
      <c r="H7" s="66" t="s">
        <v>64</v>
      </c>
    </row>
    <row r="8" spans="1:8" x14ac:dyDescent="0.25">
      <c r="A8" s="23"/>
      <c r="B8" s="48" t="s">
        <v>65</v>
      </c>
      <c r="C8" s="49">
        <v>46060</v>
      </c>
      <c r="D8" s="67" t="s">
        <v>58</v>
      </c>
      <c r="E8" s="68">
        <v>55</v>
      </c>
      <c r="F8" s="62" t="s">
        <v>66</v>
      </c>
      <c r="G8" s="43" t="s">
        <v>67</v>
      </c>
      <c r="H8" s="63" t="s">
        <v>68</v>
      </c>
    </row>
    <row r="9" spans="1:8" x14ac:dyDescent="0.25">
      <c r="A9" s="23"/>
      <c r="B9" s="53" t="s">
        <v>69</v>
      </c>
      <c r="C9" s="54">
        <v>46061</v>
      </c>
      <c r="D9" s="67" t="s">
        <v>58</v>
      </c>
      <c r="E9" s="69">
        <v>12.99</v>
      </c>
      <c r="F9" s="65" t="s">
        <v>70</v>
      </c>
      <c r="G9" s="45" t="s">
        <v>52</v>
      </c>
      <c r="H9" s="66" t="s">
        <v>71</v>
      </c>
    </row>
    <row r="10" spans="1:8" x14ac:dyDescent="0.25">
      <c r="A10" s="23"/>
      <c r="B10" s="48" t="s">
        <v>72</v>
      </c>
      <c r="C10" s="49">
        <v>46063</v>
      </c>
      <c r="D10" s="67" t="s">
        <v>58</v>
      </c>
      <c r="E10" s="68">
        <v>30</v>
      </c>
      <c r="F10" s="62" t="s">
        <v>73</v>
      </c>
      <c r="G10" s="43" t="s">
        <v>52</v>
      </c>
      <c r="H10" s="63" t="s">
        <v>74</v>
      </c>
    </row>
    <row r="11" spans="1:8" x14ac:dyDescent="0.25">
      <c r="A11" s="23"/>
      <c r="B11" s="53" t="s">
        <v>75</v>
      </c>
      <c r="C11" s="54">
        <v>46065</v>
      </c>
      <c r="D11" s="67" t="s">
        <v>58</v>
      </c>
      <c r="E11" s="69">
        <v>45.8</v>
      </c>
      <c r="F11" s="65" t="s">
        <v>76</v>
      </c>
      <c r="G11" s="45" t="s">
        <v>67</v>
      </c>
      <c r="H11" s="66" t="s">
        <v>77</v>
      </c>
    </row>
    <row r="12" spans="1:8" x14ac:dyDescent="0.25">
      <c r="A12" s="23"/>
      <c r="B12" s="48" t="s">
        <v>78</v>
      </c>
      <c r="C12" s="49">
        <v>46067</v>
      </c>
      <c r="D12" s="67" t="s">
        <v>58</v>
      </c>
      <c r="E12" s="68">
        <v>29.99</v>
      </c>
      <c r="F12" s="62" t="s">
        <v>79</v>
      </c>
      <c r="G12" s="43" t="s">
        <v>67</v>
      </c>
      <c r="H12" s="63" t="s">
        <v>80</v>
      </c>
    </row>
    <row r="13" spans="1:8" x14ac:dyDescent="0.25">
      <c r="A13" s="23"/>
      <c r="B13" s="53" t="s">
        <v>81</v>
      </c>
      <c r="C13" s="54">
        <v>46069</v>
      </c>
      <c r="D13" s="67" t="s">
        <v>58</v>
      </c>
      <c r="E13" s="69">
        <v>43.2</v>
      </c>
      <c r="F13" s="65" t="s">
        <v>62</v>
      </c>
      <c r="G13" s="45" t="s">
        <v>63</v>
      </c>
      <c r="H13" s="66" t="s">
        <v>64</v>
      </c>
    </row>
    <row r="14" spans="1:8" x14ac:dyDescent="0.25">
      <c r="A14" s="23"/>
      <c r="B14" s="48" t="s">
        <v>82</v>
      </c>
      <c r="C14" s="49">
        <v>46071</v>
      </c>
      <c r="D14" s="67" t="s">
        <v>58</v>
      </c>
      <c r="E14" s="68">
        <v>25</v>
      </c>
      <c r="F14" s="62" t="s">
        <v>83</v>
      </c>
      <c r="G14" s="43" t="s">
        <v>67</v>
      </c>
      <c r="H14" s="63" t="s">
        <v>84</v>
      </c>
    </row>
    <row r="15" spans="1:8" x14ac:dyDescent="0.25">
      <c r="A15" s="23"/>
      <c r="B15" s="53" t="s">
        <v>85</v>
      </c>
      <c r="C15" s="54">
        <v>46073</v>
      </c>
      <c r="D15" s="60" t="s">
        <v>50</v>
      </c>
      <c r="E15" s="64">
        <v>120</v>
      </c>
      <c r="F15" s="65" t="s">
        <v>86</v>
      </c>
      <c r="G15" s="45" t="s">
        <v>87</v>
      </c>
      <c r="H15" s="66" t="s">
        <v>88</v>
      </c>
    </row>
    <row r="16" spans="1:8" x14ac:dyDescent="0.25">
      <c r="A16" s="23"/>
      <c r="B16" s="62"/>
      <c r="C16" s="70"/>
      <c r="D16" s="62"/>
      <c r="E16" s="29"/>
      <c r="F16" s="62"/>
      <c r="G16" s="62"/>
      <c r="H16" s="62"/>
    </row>
    <row r="17" spans="1:8" x14ac:dyDescent="0.25">
      <c r="A17" s="23"/>
      <c r="B17" s="65"/>
      <c r="C17" s="71"/>
      <c r="D17" s="65"/>
      <c r="E17" s="36"/>
      <c r="F17" s="65"/>
      <c r="G17" s="65"/>
      <c r="H17" s="65"/>
    </row>
    <row r="18" spans="1:8" x14ac:dyDescent="0.25">
      <c r="A18" s="23"/>
      <c r="B18" s="62"/>
      <c r="C18" s="70"/>
      <c r="D18" s="62"/>
      <c r="E18" s="29"/>
      <c r="F18" s="62"/>
      <c r="G18" s="62"/>
      <c r="H18" s="62"/>
    </row>
    <row r="19" spans="1:8" x14ac:dyDescent="0.25">
      <c r="A19" s="23"/>
      <c r="B19" s="65"/>
      <c r="C19" s="71"/>
      <c r="D19" s="65"/>
      <c r="E19" s="36"/>
      <c r="F19" s="65"/>
      <c r="G19" s="65"/>
      <c r="H19" s="65"/>
    </row>
    <row r="20" spans="1:8" x14ac:dyDescent="0.25">
      <c r="A20" s="23"/>
      <c r="B20" s="62"/>
      <c r="C20" s="70"/>
      <c r="D20" s="62"/>
      <c r="E20" s="29"/>
      <c r="F20" s="62"/>
      <c r="G20" s="62"/>
      <c r="H20" s="62"/>
    </row>
    <row r="21" spans="1:8" x14ac:dyDescent="0.25">
      <c r="A21" s="23"/>
      <c r="B21" s="65"/>
      <c r="C21" s="71"/>
      <c r="D21" s="65"/>
      <c r="E21" s="36"/>
      <c r="F21" s="65"/>
      <c r="G21" s="65"/>
      <c r="H21" s="65"/>
    </row>
    <row r="22" spans="1:8" x14ac:dyDescent="0.25">
      <c r="A22" s="23"/>
      <c r="B22" s="62"/>
      <c r="C22" s="70"/>
      <c r="D22" s="62"/>
      <c r="E22" s="29"/>
      <c r="F22" s="62"/>
      <c r="G22" s="62"/>
      <c r="H22" s="62"/>
    </row>
    <row r="23" spans="1:8" x14ac:dyDescent="0.25">
      <c r="A23" s="23"/>
      <c r="B23" s="65"/>
      <c r="C23" s="71"/>
      <c r="D23" s="65"/>
      <c r="E23" s="36"/>
      <c r="F23" s="65"/>
      <c r="G23" s="65"/>
      <c r="H23" s="65"/>
    </row>
    <row r="24" spans="1:8" x14ac:dyDescent="0.25">
      <c r="A24" s="23"/>
      <c r="B24" s="62"/>
      <c r="C24" s="70"/>
      <c r="D24" s="62"/>
      <c r="E24" s="29"/>
      <c r="F24" s="62"/>
      <c r="G24" s="62"/>
      <c r="H24" s="62"/>
    </row>
    <row r="25" spans="1:8" x14ac:dyDescent="0.25">
      <c r="A25" s="23"/>
      <c r="B25" s="65"/>
      <c r="C25" s="71"/>
      <c r="D25" s="65"/>
      <c r="E25" s="36"/>
      <c r="F25" s="65"/>
      <c r="G25" s="65"/>
      <c r="H25" s="65"/>
    </row>
    <row r="26" spans="1:8" x14ac:dyDescent="0.25">
      <c r="A26" s="23"/>
      <c r="B26" s="62"/>
      <c r="C26" s="70"/>
      <c r="D26" s="62"/>
      <c r="E26" s="29"/>
      <c r="F26" s="62"/>
      <c r="G26" s="62"/>
      <c r="H26" s="62"/>
    </row>
    <row r="27" spans="1:8" x14ac:dyDescent="0.25">
      <c r="A27" s="23"/>
      <c r="B27" s="65"/>
      <c r="C27" s="71"/>
      <c r="D27" s="65"/>
      <c r="E27" s="36"/>
      <c r="F27" s="65"/>
      <c r="G27" s="65"/>
      <c r="H27" s="65"/>
    </row>
    <row r="28" spans="1:8" x14ac:dyDescent="0.25">
      <c r="A28" s="23"/>
      <c r="B28" s="62"/>
      <c r="C28" s="70"/>
      <c r="D28" s="62"/>
      <c r="E28" s="29"/>
      <c r="F28" s="62"/>
      <c r="G28" s="62"/>
      <c r="H28" s="62"/>
    </row>
    <row r="29" spans="1:8" x14ac:dyDescent="0.25">
      <c r="A29" s="23"/>
      <c r="B29" s="65"/>
      <c r="C29" s="71"/>
      <c r="D29" s="65"/>
      <c r="E29" s="36"/>
      <c r="F29" s="65"/>
      <c r="G29" s="65"/>
      <c r="H29" s="65"/>
    </row>
    <row r="30" spans="1:8" x14ac:dyDescent="0.25">
      <c r="A30" s="23"/>
      <c r="B30" s="62"/>
      <c r="C30" s="70"/>
      <c r="D30" s="62"/>
      <c r="E30" s="29"/>
      <c r="F30" s="62"/>
      <c r="G30" s="62"/>
      <c r="H30" s="62"/>
    </row>
    <row r="31" spans="1:8" x14ac:dyDescent="0.25">
      <c r="A31" s="23"/>
      <c r="B31" s="65"/>
      <c r="C31" s="71"/>
      <c r="D31" s="65"/>
      <c r="E31" s="36"/>
      <c r="F31" s="65"/>
      <c r="G31" s="65"/>
      <c r="H31" s="65"/>
    </row>
    <row r="32" spans="1:8" x14ac:dyDescent="0.25">
      <c r="A32" s="23"/>
      <c r="B32" s="62"/>
      <c r="C32" s="70"/>
      <c r="D32" s="62"/>
      <c r="E32" s="29"/>
      <c r="F32" s="62"/>
      <c r="G32" s="62"/>
      <c r="H32" s="62"/>
    </row>
    <row r="33" spans="1:8" x14ac:dyDescent="0.25">
      <c r="A33" s="23"/>
      <c r="B33" s="65"/>
      <c r="C33" s="71"/>
      <c r="D33" s="65"/>
      <c r="E33" s="36"/>
      <c r="F33" s="65"/>
      <c r="G33" s="65"/>
      <c r="H33" s="65"/>
    </row>
    <row r="34" spans="1:8" x14ac:dyDescent="0.25">
      <c r="A34" s="23"/>
      <c r="B34" s="62"/>
      <c r="C34" s="70"/>
      <c r="D34" s="62"/>
      <c r="E34" s="29"/>
      <c r="F34" s="62"/>
      <c r="G34" s="62"/>
      <c r="H34" s="62"/>
    </row>
    <row r="35" spans="1:8" x14ac:dyDescent="0.25">
      <c r="A35" s="23"/>
      <c r="B35" s="65"/>
      <c r="C35" s="71"/>
      <c r="D35" s="65"/>
      <c r="E35" s="36"/>
      <c r="F35" s="65"/>
      <c r="G35" s="65"/>
      <c r="H35" s="65"/>
    </row>
    <row r="36" spans="1:8" x14ac:dyDescent="0.25">
      <c r="A36" s="23"/>
      <c r="B36" s="62"/>
      <c r="C36" s="70"/>
      <c r="D36" s="62"/>
      <c r="E36" s="29"/>
      <c r="F36" s="62"/>
      <c r="G36" s="62"/>
      <c r="H36" s="62"/>
    </row>
    <row r="37" spans="1:8" x14ac:dyDescent="0.25">
      <c r="A37" s="23"/>
      <c r="B37" s="65"/>
      <c r="C37" s="71"/>
      <c r="D37" s="65"/>
      <c r="E37" s="36"/>
      <c r="F37" s="65"/>
      <c r="G37" s="65"/>
      <c r="H37" s="65"/>
    </row>
    <row r="38" spans="1:8" x14ac:dyDescent="0.25">
      <c r="A38" s="23"/>
      <c r="B38" s="62"/>
      <c r="C38" s="70"/>
      <c r="D38" s="62"/>
      <c r="E38" s="29"/>
      <c r="F38" s="62"/>
      <c r="G38" s="62"/>
      <c r="H38" s="62"/>
    </row>
    <row r="39" spans="1:8" x14ac:dyDescent="0.25">
      <c r="A39" s="23"/>
      <c r="B39" s="65"/>
      <c r="C39" s="71"/>
      <c r="D39" s="65"/>
      <c r="E39" s="36"/>
      <c r="F39" s="65"/>
      <c r="G39" s="65"/>
      <c r="H39" s="65"/>
    </row>
    <row r="40" spans="1:8" x14ac:dyDescent="0.25">
      <c r="A40" s="23"/>
      <c r="B40" s="62"/>
      <c r="C40" s="70"/>
      <c r="D40" s="62"/>
      <c r="E40" s="29"/>
      <c r="F40" s="62"/>
      <c r="G40" s="62"/>
      <c r="H40" s="62"/>
    </row>
    <row r="41" spans="1:8" x14ac:dyDescent="0.25">
      <c r="A41" s="23"/>
      <c r="B41" s="65"/>
      <c r="C41" s="71"/>
      <c r="D41" s="65"/>
      <c r="E41" s="36"/>
      <c r="F41" s="65"/>
      <c r="G41" s="65"/>
      <c r="H41" s="65"/>
    </row>
    <row r="42" spans="1:8" x14ac:dyDescent="0.25">
      <c r="A42" s="23"/>
      <c r="B42" s="62"/>
      <c r="C42" s="70"/>
      <c r="D42" s="62"/>
      <c r="E42" s="29"/>
      <c r="F42" s="62"/>
      <c r="G42" s="62"/>
      <c r="H42" s="62"/>
    </row>
    <row r="43" spans="1:8" x14ac:dyDescent="0.25">
      <c r="A43" s="23"/>
      <c r="B43" s="65"/>
      <c r="C43" s="71"/>
      <c r="D43" s="65"/>
      <c r="E43" s="36"/>
      <c r="F43" s="65"/>
      <c r="G43" s="65"/>
      <c r="H43" s="65"/>
    </row>
    <row r="44" spans="1:8" x14ac:dyDescent="0.25">
      <c r="A44" s="23"/>
      <c r="B44" s="62"/>
      <c r="C44" s="70"/>
      <c r="D44" s="62"/>
      <c r="E44" s="29"/>
      <c r="F44" s="62"/>
      <c r="G44" s="62"/>
      <c r="H44" s="62"/>
    </row>
    <row r="45" spans="1:8" x14ac:dyDescent="0.25">
      <c r="A45" s="23"/>
      <c r="B45" s="65"/>
      <c r="C45" s="71"/>
      <c r="D45" s="65"/>
      <c r="E45" s="36"/>
      <c r="F45" s="65"/>
      <c r="G45" s="65"/>
      <c r="H45" s="65"/>
    </row>
    <row r="46" spans="1:8" x14ac:dyDescent="0.25">
      <c r="A46" s="23"/>
      <c r="B46" s="62"/>
      <c r="C46" s="70"/>
      <c r="D46" s="62"/>
      <c r="E46" s="29"/>
      <c r="F46" s="62"/>
      <c r="G46" s="62"/>
      <c r="H46" s="62"/>
    </row>
    <row r="47" spans="1:8" x14ac:dyDescent="0.25">
      <c r="A47" s="23"/>
      <c r="B47" s="65"/>
      <c r="C47" s="71"/>
      <c r="D47" s="65"/>
      <c r="E47" s="36"/>
      <c r="F47" s="65"/>
      <c r="G47" s="65"/>
      <c r="H47" s="65"/>
    </row>
    <row r="48" spans="1:8" x14ac:dyDescent="0.25">
      <c r="A48" s="23"/>
      <c r="B48" s="62"/>
      <c r="C48" s="70"/>
      <c r="D48" s="62"/>
      <c r="E48" s="29"/>
      <c r="F48" s="62"/>
      <c r="G48" s="62"/>
      <c r="H48" s="62"/>
    </row>
    <row r="49" spans="1:8" x14ac:dyDescent="0.25">
      <c r="A49" s="23"/>
      <c r="B49" s="65"/>
      <c r="C49" s="71"/>
      <c r="D49" s="65"/>
      <c r="E49" s="36"/>
      <c r="F49" s="65"/>
      <c r="G49" s="65"/>
      <c r="H49" s="65"/>
    </row>
    <row r="50" spans="1:8" x14ac:dyDescent="0.25">
      <c r="A50" s="23"/>
      <c r="B50" s="62"/>
      <c r="C50" s="70"/>
      <c r="D50" s="62"/>
      <c r="E50" s="29"/>
      <c r="F50" s="62"/>
      <c r="G50" s="62"/>
      <c r="H50" s="62"/>
    </row>
    <row r="51" spans="1:8" x14ac:dyDescent="0.25">
      <c r="A51" s="23"/>
      <c r="B51" s="65"/>
      <c r="C51" s="71"/>
      <c r="D51" s="65"/>
      <c r="E51" s="36"/>
      <c r="F51" s="65"/>
      <c r="G51" s="65"/>
      <c r="H51" s="65"/>
    </row>
    <row r="52" spans="1:8" x14ac:dyDescent="0.25">
      <c r="A52" s="23"/>
      <c r="B52" s="62"/>
      <c r="C52" s="70"/>
      <c r="D52" s="62"/>
      <c r="E52" s="29"/>
      <c r="F52" s="62"/>
      <c r="G52" s="62"/>
      <c r="H52" s="62"/>
    </row>
    <row r="53" spans="1:8" x14ac:dyDescent="0.25">
      <c r="A53" s="23"/>
      <c r="B53" s="65"/>
      <c r="C53" s="71"/>
      <c r="D53" s="65"/>
      <c r="E53" s="36"/>
      <c r="F53" s="65"/>
      <c r="G53" s="65"/>
      <c r="H53" s="65"/>
    </row>
    <row r="54" spans="1:8" x14ac:dyDescent="0.25">
      <c r="A54" s="23"/>
      <c r="B54" s="62"/>
      <c r="C54" s="70"/>
      <c r="D54" s="62"/>
      <c r="E54" s="29"/>
      <c r="F54" s="62"/>
      <c r="G54" s="62"/>
      <c r="H54" s="62"/>
    </row>
    <row r="55" spans="1:8" x14ac:dyDescent="0.25">
      <c r="A55" s="23"/>
      <c r="B55" s="65"/>
      <c r="C55" s="71"/>
      <c r="D55" s="65"/>
      <c r="E55" s="36"/>
      <c r="F55" s="65"/>
      <c r="G55" s="65"/>
      <c r="H55" s="65"/>
    </row>
    <row r="56" spans="1:8" x14ac:dyDescent="0.25">
      <c r="A56" s="23"/>
      <c r="B56" s="62"/>
      <c r="C56" s="70"/>
      <c r="D56" s="62"/>
      <c r="E56" s="29"/>
      <c r="F56" s="62"/>
      <c r="G56" s="62"/>
      <c r="H56" s="62"/>
    </row>
    <row r="57" spans="1:8" x14ac:dyDescent="0.25">
      <c r="A57" s="23"/>
      <c r="B57" s="65"/>
      <c r="C57" s="71"/>
      <c r="D57" s="65"/>
      <c r="E57" s="36"/>
      <c r="F57" s="65"/>
      <c r="G57" s="65"/>
      <c r="H57" s="65"/>
    </row>
    <row r="58" spans="1:8" x14ac:dyDescent="0.25">
      <c r="A58" s="23"/>
      <c r="B58" s="62"/>
      <c r="C58" s="70"/>
      <c r="D58" s="62"/>
      <c r="E58" s="29"/>
      <c r="F58" s="62"/>
      <c r="G58" s="62"/>
      <c r="H58" s="62"/>
    </row>
    <row r="59" spans="1:8" x14ac:dyDescent="0.25">
      <c r="A59" s="23"/>
      <c r="B59" s="65"/>
      <c r="C59" s="71"/>
      <c r="D59" s="65"/>
      <c r="E59" s="36"/>
      <c r="F59" s="65"/>
      <c r="G59" s="65"/>
      <c r="H59" s="65"/>
    </row>
    <row r="60" spans="1:8" x14ac:dyDescent="0.25">
      <c r="A60" s="23"/>
      <c r="B60" s="62"/>
      <c r="C60" s="70"/>
      <c r="D60" s="62"/>
      <c r="E60" s="29"/>
      <c r="F60" s="62"/>
      <c r="G60" s="62"/>
      <c r="H60" s="62"/>
    </row>
    <row r="61" spans="1:8" x14ac:dyDescent="0.25">
      <c r="A61" s="23"/>
      <c r="B61" s="65"/>
      <c r="C61" s="71"/>
      <c r="D61" s="65"/>
      <c r="E61" s="36"/>
      <c r="F61" s="65"/>
      <c r="G61" s="65"/>
      <c r="H61" s="65"/>
    </row>
    <row r="62" spans="1:8" x14ac:dyDescent="0.25">
      <c r="A62" s="23"/>
      <c r="B62" s="62"/>
      <c r="C62" s="70"/>
      <c r="D62" s="62"/>
      <c r="E62" s="29"/>
      <c r="F62" s="62"/>
      <c r="G62" s="62"/>
      <c r="H62" s="62"/>
    </row>
    <row r="63" spans="1:8" x14ac:dyDescent="0.25">
      <c r="A63" s="23"/>
      <c r="B63" s="65"/>
      <c r="C63" s="71"/>
      <c r="D63" s="65"/>
      <c r="E63" s="36"/>
      <c r="F63" s="65"/>
      <c r="G63" s="65"/>
      <c r="H63" s="65"/>
    </row>
    <row r="64" spans="1:8" x14ac:dyDescent="0.25">
      <c r="A64" s="23"/>
      <c r="B64" s="62"/>
      <c r="C64" s="70"/>
      <c r="D64" s="62"/>
      <c r="E64" s="29"/>
      <c r="F64" s="62"/>
      <c r="G64" s="62"/>
      <c r="H64" s="62"/>
    </row>
    <row r="65" spans="1:8" x14ac:dyDescent="0.25">
      <c r="A65" s="23"/>
      <c r="B65" s="65"/>
      <c r="C65" s="71"/>
      <c r="D65" s="65"/>
      <c r="E65" s="36"/>
      <c r="F65" s="65"/>
      <c r="G65" s="65"/>
      <c r="H65" s="65"/>
    </row>
    <row r="66" spans="1:8" x14ac:dyDescent="0.25">
      <c r="A66" s="23"/>
      <c r="B66" s="62"/>
      <c r="C66" s="70"/>
      <c r="D66" s="62"/>
      <c r="E66" s="29"/>
      <c r="F66" s="62"/>
      <c r="G66" s="62"/>
      <c r="H66" s="62"/>
    </row>
    <row r="67" spans="1:8" x14ac:dyDescent="0.25">
      <c r="A67" s="23"/>
      <c r="B67" s="65"/>
      <c r="C67" s="71"/>
      <c r="D67" s="65"/>
      <c r="E67" s="36"/>
      <c r="F67" s="65"/>
      <c r="G67" s="65"/>
      <c r="H67" s="65"/>
    </row>
    <row r="68" spans="1:8" x14ac:dyDescent="0.25">
      <c r="A68" s="23"/>
      <c r="B68" s="62"/>
      <c r="C68" s="70"/>
      <c r="D68" s="62"/>
      <c r="E68" s="29"/>
      <c r="F68" s="62"/>
      <c r="G68" s="62"/>
      <c r="H68" s="62"/>
    </row>
    <row r="69" spans="1:8" x14ac:dyDescent="0.25">
      <c r="A69" s="23"/>
      <c r="B69" s="65"/>
      <c r="C69" s="71"/>
      <c r="D69" s="65"/>
      <c r="E69" s="36"/>
      <c r="F69" s="65"/>
      <c r="G69" s="65"/>
      <c r="H69" s="65"/>
    </row>
    <row r="70" spans="1:8" x14ac:dyDescent="0.25">
      <c r="A70" s="23"/>
      <c r="B70" s="62"/>
      <c r="C70" s="70"/>
      <c r="D70" s="62"/>
      <c r="E70" s="29"/>
      <c r="F70" s="62"/>
      <c r="G70" s="62"/>
      <c r="H70" s="62"/>
    </row>
    <row r="71" spans="1:8" x14ac:dyDescent="0.25">
      <c r="A71" s="23"/>
      <c r="B71" s="65"/>
      <c r="C71" s="71"/>
      <c r="D71" s="65"/>
      <c r="E71" s="36"/>
      <c r="F71" s="65"/>
      <c r="G71" s="65"/>
      <c r="H71" s="65"/>
    </row>
    <row r="72" spans="1:8" x14ac:dyDescent="0.25">
      <c r="A72" s="23"/>
      <c r="B72" s="62"/>
      <c r="C72" s="70"/>
      <c r="D72" s="62"/>
      <c r="E72" s="29"/>
      <c r="F72" s="62"/>
      <c r="G72" s="62"/>
      <c r="H72" s="62"/>
    </row>
    <row r="73" spans="1:8" x14ac:dyDescent="0.25">
      <c r="A73" s="23"/>
      <c r="B73" s="65"/>
      <c r="C73" s="71"/>
      <c r="D73" s="65"/>
      <c r="E73" s="36"/>
      <c r="F73" s="65"/>
      <c r="G73" s="65"/>
      <c r="H73" s="65"/>
    </row>
    <row r="74" spans="1:8" x14ac:dyDescent="0.25">
      <c r="A74" s="23"/>
      <c r="B74" s="62"/>
      <c r="C74" s="70"/>
      <c r="D74" s="62"/>
      <c r="E74" s="29"/>
      <c r="F74" s="62"/>
      <c r="G74" s="62"/>
      <c r="H74" s="62"/>
    </row>
    <row r="75" spans="1:8" x14ac:dyDescent="0.25">
      <c r="A75" s="23"/>
      <c r="B75" s="65"/>
      <c r="C75" s="71"/>
      <c r="D75" s="65"/>
      <c r="E75" s="36"/>
      <c r="F75" s="65"/>
      <c r="G75" s="65"/>
      <c r="H75" s="65"/>
    </row>
    <row r="76" spans="1:8" x14ac:dyDescent="0.25">
      <c r="A76" s="23"/>
      <c r="B76" s="62"/>
      <c r="C76" s="70"/>
      <c r="D76" s="62"/>
      <c r="E76" s="29"/>
      <c r="F76" s="62"/>
      <c r="G76" s="62"/>
      <c r="H76" s="62"/>
    </row>
    <row r="77" spans="1:8" x14ac:dyDescent="0.25">
      <c r="A77" s="23"/>
      <c r="B77" s="65"/>
      <c r="C77" s="71"/>
      <c r="D77" s="65"/>
      <c r="E77" s="36"/>
      <c r="F77" s="65"/>
      <c r="G77" s="65"/>
      <c r="H77" s="65"/>
    </row>
    <row r="78" spans="1:8" x14ac:dyDescent="0.25">
      <c r="A78" s="23"/>
      <c r="B78" s="62"/>
      <c r="C78" s="70"/>
      <c r="D78" s="62"/>
      <c r="E78" s="29"/>
      <c r="F78" s="62"/>
      <c r="G78" s="62"/>
      <c r="H78" s="62"/>
    </row>
    <row r="79" spans="1:8" x14ac:dyDescent="0.25">
      <c r="A79" s="23"/>
      <c r="B79" s="65"/>
      <c r="C79" s="71"/>
      <c r="D79" s="65"/>
      <c r="E79" s="36"/>
      <c r="F79" s="65"/>
      <c r="G79" s="65"/>
      <c r="H79" s="65"/>
    </row>
    <row r="80" spans="1:8" x14ac:dyDescent="0.25">
      <c r="A80" s="23"/>
      <c r="B80" s="62"/>
      <c r="C80" s="70"/>
      <c r="D80" s="62"/>
      <c r="E80" s="29"/>
      <c r="F80" s="62"/>
      <c r="G80" s="62"/>
      <c r="H80" s="62"/>
    </row>
    <row r="81" spans="1:8" x14ac:dyDescent="0.25">
      <c r="A81" s="23"/>
      <c r="B81" s="65"/>
      <c r="C81" s="71"/>
      <c r="D81" s="65"/>
      <c r="E81" s="36"/>
      <c r="F81" s="65"/>
      <c r="G81" s="65"/>
      <c r="H81" s="65"/>
    </row>
    <row r="82" spans="1:8" x14ac:dyDescent="0.25">
      <c r="A82" s="23"/>
      <c r="B82" s="62"/>
      <c r="C82" s="70"/>
      <c r="D82" s="62"/>
      <c r="E82" s="29"/>
      <c r="F82" s="62"/>
      <c r="G82" s="62"/>
      <c r="H82" s="62"/>
    </row>
    <row r="83" spans="1:8" x14ac:dyDescent="0.25">
      <c r="A83" s="23"/>
      <c r="B83" s="65"/>
      <c r="C83" s="71"/>
      <c r="D83" s="65"/>
      <c r="E83" s="36"/>
      <c r="F83" s="65"/>
      <c r="G83" s="65"/>
      <c r="H83" s="65"/>
    </row>
    <row r="84" spans="1:8" x14ac:dyDescent="0.25">
      <c r="A84" s="23"/>
      <c r="B84" s="62"/>
      <c r="C84" s="70"/>
      <c r="D84" s="62"/>
      <c r="E84" s="29"/>
      <c r="F84" s="62"/>
      <c r="G84" s="62"/>
      <c r="H84" s="62"/>
    </row>
    <row r="85" spans="1:8" x14ac:dyDescent="0.25">
      <c r="A85" s="23"/>
      <c r="B85" s="65"/>
      <c r="C85" s="71"/>
      <c r="D85" s="65"/>
      <c r="E85" s="36"/>
      <c r="F85" s="65"/>
      <c r="G85" s="65"/>
      <c r="H85" s="65"/>
    </row>
    <row r="86" spans="1:8" x14ac:dyDescent="0.25">
      <c r="A86" s="23"/>
      <c r="B86" s="62"/>
      <c r="C86" s="70"/>
      <c r="D86" s="62"/>
      <c r="E86" s="29"/>
      <c r="F86" s="62"/>
      <c r="G86" s="62"/>
      <c r="H86" s="62"/>
    </row>
    <row r="87" spans="1:8" x14ac:dyDescent="0.25">
      <c r="A87" s="23"/>
      <c r="B87" s="65"/>
      <c r="C87" s="71"/>
      <c r="D87" s="65"/>
      <c r="E87" s="36"/>
      <c r="F87" s="65"/>
      <c r="G87" s="65"/>
      <c r="H87" s="65"/>
    </row>
    <row r="88" spans="1:8" x14ac:dyDescent="0.25">
      <c r="A88" s="23"/>
      <c r="B88" s="62"/>
      <c r="C88" s="70"/>
      <c r="D88" s="62"/>
      <c r="E88" s="29"/>
      <c r="F88" s="62"/>
      <c r="G88" s="62"/>
      <c r="H88" s="62"/>
    </row>
    <row r="89" spans="1:8" x14ac:dyDescent="0.25">
      <c r="A89" s="23"/>
      <c r="B89" s="65"/>
      <c r="C89" s="71"/>
      <c r="D89" s="65"/>
      <c r="E89" s="36"/>
      <c r="F89" s="65"/>
      <c r="G89" s="65"/>
      <c r="H89" s="65"/>
    </row>
    <row r="90" spans="1:8" x14ac:dyDescent="0.25">
      <c r="A90" s="23"/>
      <c r="B90" s="62"/>
      <c r="C90" s="70"/>
      <c r="D90" s="62"/>
      <c r="E90" s="29"/>
      <c r="F90" s="62"/>
      <c r="G90" s="62"/>
      <c r="H90" s="62"/>
    </row>
    <row r="91" spans="1:8" x14ac:dyDescent="0.25">
      <c r="A91" s="23"/>
      <c r="B91" s="65"/>
      <c r="C91" s="71"/>
      <c r="D91" s="65"/>
      <c r="E91" s="36"/>
      <c r="F91" s="65"/>
      <c r="G91" s="65"/>
      <c r="H91" s="65"/>
    </row>
    <row r="92" spans="1:8" x14ac:dyDescent="0.25">
      <c r="A92" s="23"/>
      <c r="B92" s="62"/>
      <c r="C92" s="70"/>
      <c r="D92" s="62"/>
      <c r="E92" s="29"/>
      <c r="F92" s="62"/>
      <c r="G92" s="62"/>
      <c r="H92" s="62"/>
    </row>
    <row r="93" spans="1:8" x14ac:dyDescent="0.25">
      <c r="A93" s="23"/>
      <c r="B93" s="65"/>
      <c r="C93" s="71"/>
      <c r="D93" s="65"/>
      <c r="E93" s="36"/>
      <c r="F93" s="65"/>
      <c r="G93" s="65"/>
      <c r="H93" s="65"/>
    </row>
    <row r="94" spans="1:8" x14ac:dyDescent="0.25">
      <c r="A94" s="23"/>
      <c r="B94" s="62"/>
      <c r="C94" s="70"/>
      <c r="D94" s="62"/>
      <c r="E94" s="29"/>
      <c r="F94" s="62"/>
      <c r="G94" s="62"/>
      <c r="H94" s="62"/>
    </row>
    <row r="95" spans="1:8" x14ac:dyDescent="0.25">
      <c r="A95" s="23"/>
      <c r="B95" s="65"/>
      <c r="C95" s="71"/>
      <c r="D95" s="65"/>
      <c r="E95" s="36"/>
      <c r="F95" s="65"/>
      <c r="G95" s="65"/>
      <c r="H95" s="65"/>
    </row>
    <row r="96" spans="1:8" x14ac:dyDescent="0.25">
      <c r="A96" s="23"/>
      <c r="B96" s="62"/>
      <c r="C96" s="70"/>
      <c r="D96" s="62"/>
      <c r="E96" s="29"/>
      <c r="F96" s="62"/>
      <c r="G96" s="62"/>
      <c r="H96" s="62"/>
    </row>
    <row r="97" spans="1:8" x14ac:dyDescent="0.25">
      <c r="A97" s="23"/>
      <c r="B97" s="65"/>
      <c r="C97" s="71"/>
      <c r="D97" s="65"/>
      <c r="E97" s="36"/>
      <c r="F97" s="65"/>
      <c r="G97" s="65"/>
      <c r="H97" s="65"/>
    </row>
    <row r="98" spans="1:8" x14ac:dyDescent="0.25">
      <c r="A98" s="23"/>
      <c r="B98" s="62"/>
      <c r="C98" s="70"/>
      <c r="D98" s="62"/>
      <c r="E98" s="29"/>
      <c r="F98" s="62"/>
      <c r="G98" s="62"/>
      <c r="H98" s="62"/>
    </row>
    <row r="99" spans="1:8" x14ac:dyDescent="0.25">
      <c r="A99" s="23"/>
      <c r="B99" s="65"/>
      <c r="C99" s="71"/>
      <c r="D99" s="65"/>
      <c r="E99" s="36"/>
      <c r="F99" s="65"/>
      <c r="G99" s="65"/>
      <c r="H99" s="65"/>
    </row>
    <row r="100" spans="1:8" x14ac:dyDescent="0.25">
      <c r="A100" s="23"/>
      <c r="B100" s="62"/>
      <c r="C100" s="70"/>
      <c r="D100" s="62"/>
      <c r="E100" s="29"/>
      <c r="F100" s="62"/>
      <c r="G100" s="62"/>
      <c r="H100" s="62"/>
    </row>
    <row r="101" spans="1:8" x14ac:dyDescent="0.25">
      <c r="A101" s="23"/>
      <c r="B101" s="65"/>
      <c r="C101" s="71"/>
      <c r="D101" s="65"/>
      <c r="E101" s="36"/>
      <c r="F101" s="65"/>
      <c r="G101" s="65"/>
      <c r="H101" s="65"/>
    </row>
    <row r="102" spans="1:8" x14ac:dyDescent="0.25">
      <c r="A102" s="23"/>
      <c r="B102" s="62"/>
      <c r="C102" s="70"/>
      <c r="D102" s="62"/>
      <c r="E102" s="29"/>
      <c r="F102" s="62"/>
      <c r="G102" s="62"/>
      <c r="H102" s="62"/>
    </row>
    <row r="103" spans="1:8" x14ac:dyDescent="0.25">
      <c r="A103" s="23"/>
      <c r="B103" s="65"/>
      <c r="C103" s="71"/>
      <c r="D103" s="65"/>
      <c r="E103" s="36"/>
      <c r="F103" s="65"/>
      <c r="G103" s="65"/>
      <c r="H103" s="65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</sheetData>
  <autoFilter ref="B3:H103"/>
  <mergeCells count="2">
    <mergeCell ref="B1:G1"/>
    <mergeCell ref="B2:G2"/>
  </mergeCells>
  <conditionalFormatting sqref="D4:D103">
    <cfRule type="containsText" dxfId="4" priority="1">
      <formula>NOT(ISERROR(SEARCH("Einnahme",D4)))</formula>
    </cfRule>
    <cfRule type="containsText" dxfId="5" priority="2">
      <formula>NOT(ISERROR(SEARCH("Ausgabe",D4)))</formula>
    </cfRule>
  </conditionalFormatting>
  <dataValidations count="14">
    <dataValidation type="list" allowBlank="1" showInputMessage="1" promptTitle="Beschreibung" prompt="Aus Liste wählen oder frei eintippen" sqref="B10:B103">
      <formula1>"Miete,Gehalt,Einkauf REWE,Einkauf LIDL,Einkauf ALDI,Tankstelle,Netflix,Spotify,Restaurant,Arztbesuch,Apotheke,Strom,Internet,Handyvertrag,Versicherung,Freelance,Dividende,Online Kurs,Kleidung,Geschenk"</formula1>
    </dataValidation>
    <dataValidation type="list" allowBlank="1" showInputMessage="1" promptTitle="Beschreibung" prompt="Aus Liste wählen oder frei eintippen" sqref="B4:B103">
      <formula1>"Miete,Gehalt,Einkauf REWE,Einkauf LIDL,Einkauf ALDI,Tankstelle,Netflix,Spotify,Restaurant,Arztbesuch,Apotheke,Strom,Internet,Handyvertrag,Versicherung,Freelance,Dividende,Online Kurs,Kleidung,Geschenk"</formula1>
    </dataValidation>
    <dataValidation type="date" allowBlank="1" showInputMessage="1" promptTitle="Datum" prompt="Format: TT.MM.JJJJ" showErrorMessage="1" errorTitle="Ungültiges Datum" error="Bitte ein gültiges Datum eingeben" sqref="C10:C103">
      <formula1>43831</formula1>
      <formula2>47848</formula2>
    </dataValidation>
    <dataValidation type="date" allowBlank="1" showInputMessage="1" promptTitle="Datum" prompt="Format: TT.MM.JJJJ" showErrorMessage="1" errorTitle="Ungültiges Datum" error="Bitte ein gültiges Datum eingeben" sqref="C4:C103">
      <formula1>43831</formula1>
      <formula2>47848</formula2>
    </dataValidation>
    <dataValidation type="list" allowBlank="1" showInputMessage="1" promptTitle="Typ wählen" prompt="Einnahme oder Ausgabe" showErrorMessage="1" errorTitle="Ungültiger Typ" error="Bitte Einnahme oder Ausgabe wählen" sqref="D10:D103">
      <formula1>"Einnahme,Ausgabe"</formula1>
    </dataValidation>
    <dataValidation type="list" allowBlank="1" showInputMessage="1" promptTitle="Typ wählen" prompt="Einnahme oder Ausgabe" showErrorMessage="1" errorTitle="Ungültiger Typ" error="Bitte Einnahme oder Ausgabe wählen" sqref="D4:D103">
      <formula1>"Einnahme,Ausgabe"</formula1>
    </dataValidation>
    <dataValidation type="decimal" operator="greaterThan" allowBlank="1" showInputMessage="1" promptTitle="Betrag" prompt="Betrag in Euro eingeben (z.B. 49.99)" showErrorMessage="1" errorTitle="Ungültiger Betrag" error="Bitte einen positiven Betrag eingeben" sqref="E10:E103">
      <formula1>0</formula1>
    </dataValidation>
    <dataValidation type="decimal" operator="greaterThan" allowBlank="1" showInputMessage="1" promptTitle="Betrag" prompt="Betrag in Euro eingeben (z.B. 49.99)" showErrorMessage="1" errorTitle="Ungültiger Betrag" error="Bitte einen positiven Betrag eingeben" sqref="E4:E103">
      <formula1>0</formula1>
    </dataValidation>
    <dataValidation type="list" allowBlank="1" showInputMessage="1" promptTitle="Kategorie" prompt="Kategorie aus der Liste wählen" showErrorMessage="1" errorTitle="Ungültige Kategorie" error="Bitte eine Kategorie aus der Liste wählen" sqref="F10:F103">
      <formula1>Kategorien!$B$4:$B$20</formula1>
    </dataValidation>
    <dataValidation type="list" allowBlank="1" showInputMessage="1" promptTitle="Kategorie" prompt="Kategorie aus der Liste wählen" showErrorMessage="1" errorTitle="Ungültige Kategorie" error="Bitte eine Kategorie aus der Liste wählen" sqref="F4:F103">
      <formula1>Kategorien!$B$4:$B$20</formula1>
    </dataValidation>
    <dataValidation type="list" allowBlank="1" showInputMessage="1" promptTitle="Konto" prompt="Konto aus der Liste wählen" showErrorMessage="1" errorTitle="Ungültiges Konto" error="Bitte ein Konto aus der Liste wählen" sqref="G10:G103">
      <formula1>Konten!$B$4:$B$12</formula1>
    </dataValidation>
    <dataValidation type="list" allowBlank="1" showInputMessage="1" promptTitle="Konto" prompt="Konto aus der Liste wählen" showErrorMessage="1" errorTitle="Ungültiges Konto" error="Bitte ein Konto aus der Liste wählen" sqref="G4:G103">
      <formula1>Konten!$B$4:$B$12</formula1>
    </dataValidation>
    <dataValidation type="textLength" operator="lessThanOrEqual" allowBlank="1" showInputMessage="1" promptTitle="Notizen" prompt="Optionale Notizen zur Transaktion" sqref="H10:H103">
      <formula1>500</formula1>
    </dataValidation>
    <dataValidation type="textLength" operator="lessThanOrEqual" allowBlank="1" showInputMessage="1" promptTitle="Notizen" prompt="Optionale Notizen zur Transaktion" sqref="H4:H103">
      <formula1>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0883E"/>
  </sheetPr>
  <dimension ref="A1:F30"/>
  <sheetViews>
    <sheetView workbookViewId="0">
      <pane ySplit="3" topLeftCell="A4" activePane="bottomLeft" state="frozen"/>
      <selection pane="bottomLeft" activeCell="B4" sqref="B4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16" customWidth="1"/>
    <col min="4" max="4" width="18" customWidth="1"/>
    <col min="5" max="5" width="16" customWidth="1"/>
    <col min="6" max="6" width="3" customWidth="1"/>
  </cols>
  <sheetData>
    <row r="1" ht="45" customHeight="1" spans="1:6" x14ac:dyDescent="0.25">
      <c r="A1" s="1"/>
      <c r="B1" s="59" t="s">
        <v>89</v>
      </c>
      <c r="C1" s="59"/>
      <c r="D1" s="59"/>
      <c r="E1" s="59"/>
      <c r="F1" s="1"/>
    </row>
    <row r="2" ht="4" customHeight="1" spans="1:6" x14ac:dyDescent="0.25">
      <c r="A2" s="1"/>
      <c r="B2" s="4"/>
      <c r="C2" s="4"/>
      <c r="D2" s="4"/>
      <c r="E2" s="4"/>
      <c r="F2" s="1"/>
    </row>
    <row r="3" ht="36" customHeight="1" spans="1:6" x14ac:dyDescent="0.25">
      <c r="A3" s="22" t="s">
        <v>11</v>
      </c>
      <c r="B3" s="22" t="s">
        <v>12</v>
      </c>
      <c r="C3" s="22" t="s">
        <v>33</v>
      </c>
      <c r="D3" s="22" t="s">
        <v>90</v>
      </c>
      <c r="E3" s="22" t="s">
        <v>91</v>
      </c>
      <c r="F3" s="22" t="s">
        <v>11</v>
      </c>
    </row>
    <row r="4" spans="1:6" x14ac:dyDescent="0.25">
      <c r="A4" s="23"/>
      <c r="B4" s="24" t="s">
        <v>51</v>
      </c>
      <c r="C4" s="60" t="s">
        <v>50</v>
      </c>
      <c r="D4" s="29">
        <v>0</v>
      </c>
      <c r="E4" s="72" t="s">
        <v>92</v>
      </c>
      <c r="F4" s="23"/>
    </row>
    <row r="5" spans="1:6" x14ac:dyDescent="0.25">
      <c r="A5" s="23"/>
      <c r="B5" s="31" t="s">
        <v>55</v>
      </c>
      <c r="C5" s="60" t="s">
        <v>50</v>
      </c>
      <c r="D5" s="36">
        <v>0</v>
      </c>
      <c r="E5" s="73" t="s">
        <v>93</v>
      </c>
      <c r="F5" s="23"/>
    </row>
    <row r="6" spans="1:6" x14ac:dyDescent="0.25">
      <c r="A6" s="23"/>
      <c r="B6" s="24" t="s">
        <v>86</v>
      </c>
      <c r="C6" s="60" t="s">
        <v>50</v>
      </c>
      <c r="D6" s="29">
        <v>0</v>
      </c>
      <c r="E6" s="72" t="s">
        <v>94</v>
      </c>
      <c r="F6" s="23"/>
    </row>
    <row r="7" spans="1:6" x14ac:dyDescent="0.25">
      <c r="A7" s="23"/>
      <c r="B7" s="31" t="s">
        <v>95</v>
      </c>
      <c r="C7" s="60" t="s">
        <v>50</v>
      </c>
      <c r="D7" s="36">
        <v>0</v>
      </c>
      <c r="E7" s="73" t="s">
        <v>96</v>
      </c>
      <c r="F7" s="23"/>
    </row>
    <row r="8" spans="1:6" x14ac:dyDescent="0.25">
      <c r="A8" s="23"/>
      <c r="B8" s="24" t="s">
        <v>62</v>
      </c>
      <c r="C8" s="67" t="s">
        <v>58</v>
      </c>
      <c r="D8" s="29">
        <v>400</v>
      </c>
      <c r="E8" s="72" t="s">
        <v>97</v>
      </c>
      <c r="F8" s="23"/>
    </row>
    <row r="9" spans="1:6" x14ac:dyDescent="0.25">
      <c r="A9" s="23"/>
      <c r="B9" s="31" t="s">
        <v>66</v>
      </c>
      <c r="C9" s="67" t="s">
        <v>58</v>
      </c>
      <c r="D9" s="36">
        <v>150</v>
      </c>
      <c r="E9" s="73" t="s">
        <v>98</v>
      </c>
      <c r="F9" s="23"/>
    </row>
    <row r="10" spans="1:6" x14ac:dyDescent="0.25">
      <c r="A10" s="23"/>
      <c r="B10" s="24" t="s">
        <v>59</v>
      </c>
      <c r="C10" s="67" t="s">
        <v>58</v>
      </c>
      <c r="D10" s="29">
        <v>1000</v>
      </c>
      <c r="E10" s="72" t="s">
        <v>99</v>
      </c>
      <c r="F10" s="23"/>
    </row>
    <row r="11" spans="1:6" x14ac:dyDescent="0.25">
      <c r="A11" s="23"/>
      <c r="B11" s="31" t="s">
        <v>70</v>
      </c>
      <c r="C11" s="67" t="s">
        <v>58</v>
      </c>
      <c r="D11" s="36">
        <v>100</v>
      </c>
      <c r="E11" s="73" t="s">
        <v>100</v>
      </c>
      <c r="F11" s="23"/>
    </row>
    <row r="12" spans="1:6" x14ac:dyDescent="0.25">
      <c r="A12" s="23"/>
      <c r="B12" s="24" t="s">
        <v>73</v>
      </c>
      <c r="C12" s="67" t="s">
        <v>58</v>
      </c>
      <c r="D12" s="29">
        <v>50</v>
      </c>
      <c r="E12" s="72" t="s">
        <v>101</v>
      </c>
      <c r="F12" s="23"/>
    </row>
    <row r="13" spans="1:6" x14ac:dyDescent="0.25">
      <c r="A13" s="23"/>
      <c r="B13" s="31" t="s">
        <v>79</v>
      </c>
      <c r="C13" s="67" t="s">
        <v>58</v>
      </c>
      <c r="D13" s="36">
        <v>50</v>
      </c>
      <c r="E13" s="73" t="s">
        <v>102</v>
      </c>
      <c r="F13" s="23"/>
    </row>
    <row r="14" spans="1:6" x14ac:dyDescent="0.25">
      <c r="A14" s="23"/>
      <c r="B14" s="24" t="s">
        <v>83</v>
      </c>
      <c r="C14" s="67" t="s">
        <v>58</v>
      </c>
      <c r="D14" s="29">
        <v>80</v>
      </c>
      <c r="E14" s="72" t="s">
        <v>103</v>
      </c>
      <c r="F14" s="23"/>
    </row>
    <row r="15" spans="1:6" x14ac:dyDescent="0.25">
      <c r="A15" s="23"/>
      <c r="B15" s="31" t="s">
        <v>76</v>
      </c>
      <c r="C15" s="67" t="s">
        <v>58</v>
      </c>
      <c r="D15" s="36">
        <v>100</v>
      </c>
      <c r="E15" s="73" t="s">
        <v>94</v>
      </c>
      <c r="F15" s="23"/>
    </row>
    <row r="16" spans="1:6" x14ac:dyDescent="0.25">
      <c r="A16" s="23"/>
      <c r="B16" s="62"/>
      <c r="C16" s="62"/>
      <c r="D16" s="29"/>
      <c r="E16" s="62"/>
      <c r="F16" s="23"/>
    </row>
    <row r="17" spans="1:6" x14ac:dyDescent="0.25">
      <c r="A17" s="23"/>
      <c r="B17" s="65"/>
      <c r="C17" s="65"/>
      <c r="D17" s="36"/>
      <c r="E17" s="65"/>
      <c r="F17" s="23"/>
    </row>
    <row r="18" spans="1:6" x14ac:dyDescent="0.25">
      <c r="A18" s="23"/>
      <c r="B18" s="62"/>
      <c r="C18" s="62"/>
      <c r="D18" s="29"/>
      <c r="E18" s="62"/>
      <c r="F18" s="23"/>
    </row>
    <row r="19" spans="1:6" x14ac:dyDescent="0.25">
      <c r="A19" s="23"/>
      <c r="B19" s="65"/>
      <c r="C19" s="65"/>
      <c r="D19" s="36"/>
      <c r="E19" s="65"/>
      <c r="F19" s="23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</sheetData>
  <mergeCells count="2">
    <mergeCell ref="B1:E1"/>
    <mergeCell ref="B2:E2"/>
  </mergeCells>
  <dataValidations count="2">
    <dataValidation type="list" allowBlank="1" sqref="C10:C19">
      <formula1>"Einnahme,Ausgabe"</formula1>
    </dataValidation>
    <dataValidation type="list" allowBlank="1" sqref="C4:C19">
      <formula1>"Einnahme,Ausgabe"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C8CFF"/>
  </sheetPr>
  <dimension ref="A1:I25"/>
  <sheetViews>
    <sheetView workbookViewId="0">
      <pane ySplit="3" topLeftCell="A4" activePane="bottomLeft" state="frozen"/>
      <selection pane="bottomLeft" activeCell="B4" sqref="B4"/>
    </sheetView>
  </sheetViews>
  <sheetFormatPr defaultRowHeight="15" outlineLevelRow="0" outlineLevelCol="0" x14ac:dyDescent="55"/>
  <cols>
    <col min="1" max="1" width="3" customWidth="1"/>
    <col min="2" max="2" width="22" customWidth="1"/>
    <col min="3" max="5" width="18" customWidth="1"/>
    <col min="6" max="6" width="14" customWidth="1"/>
    <col min="7" max="7" width="16" customWidth="1"/>
    <col min="8" max="8" width="28" customWidth="1"/>
    <col min="9" max="9" width="3" customWidth="1"/>
  </cols>
  <sheetData>
    <row r="1" ht="45" customHeight="1" spans="1:9" x14ac:dyDescent="0.25">
      <c r="A1" s="1"/>
      <c r="B1" s="59" t="s">
        <v>104</v>
      </c>
      <c r="C1" s="59"/>
      <c r="D1" s="59"/>
      <c r="E1" s="59"/>
      <c r="F1" s="59"/>
      <c r="G1" s="59"/>
      <c r="H1" s="59"/>
      <c r="I1" s="1"/>
    </row>
    <row r="2" ht="4" customHeight="1" spans="1:9" x14ac:dyDescent="0.25">
      <c r="A2" s="1"/>
      <c r="B2" s="4"/>
      <c r="C2" s="4"/>
      <c r="D2" s="4"/>
      <c r="E2" s="4"/>
      <c r="F2" s="4"/>
      <c r="G2" s="4"/>
      <c r="H2" s="4"/>
      <c r="I2" s="1"/>
    </row>
    <row r="3" ht="36" customHeight="1" spans="1:9" x14ac:dyDescent="0.25">
      <c r="A3" s="22" t="s">
        <v>11</v>
      </c>
      <c r="B3" s="22" t="s">
        <v>12</v>
      </c>
      <c r="C3" s="22" t="s">
        <v>13</v>
      </c>
      <c r="D3" s="22" t="s">
        <v>14</v>
      </c>
      <c r="E3" s="22" t="s">
        <v>105</v>
      </c>
      <c r="F3" s="22" t="s">
        <v>106</v>
      </c>
      <c r="G3" s="22" t="s">
        <v>15</v>
      </c>
      <c r="H3" s="22" t="s">
        <v>107</v>
      </c>
      <c r="I3" s="22" t="s">
        <v>11</v>
      </c>
    </row>
    <row r="4" spans="1:9" x14ac:dyDescent="0.25">
      <c r="A4" s="23"/>
      <c r="B4" s="24" t="s">
        <v>62</v>
      </c>
      <c r="C4" s="29">
        <v>400</v>
      </c>
      <c r="D4" s="26">
        <f>SUMPRODUCT((Transaktionen!D$4:D$500="Ausgabe")*(Transaktionen!F$4:F$500=B4)*(MONTH(Transaktionen!C$4:C$500)=MONTH(TODAY()))*(YEAR(Transaktionen!C$4:C$500)=YEAR(TODAY()))*Transaktionen!E$4:E$500)</f>
      </c>
      <c r="E4" s="27">
        <f>C4-D4</f>
      </c>
      <c r="F4" s="74">
        <f>IF(C4=0,0,D4/C4)</f>
      </c>
      <c r="G4" s="75">
        <f>IF(C4=0,"—",IF(F4&gt;1,"OVER",IF(F4&gt;0.8,"WARN","OK")))</f>
      </c>
      <c r="H4" s="76">
        <f>IF(C4=0,"",REPT("█",MIN(ROUND(F4*20,0),20))&amp;REPT("░",MAX(20-ROUND(F4*20,0),0)))</f>
      </c>
      <c r="I4" s="23"/>
    </row>
    <row r="5" spans="1:9" x14ac:dyDescent="0.25">
      <c r="A5" s="23"/>
      <c r="B5" s="31" t="s">
        <v>66</v>
      </c>
      <c r="C5" s="36">
        <v>150</v>
      </c>
      <c r="D5" s="33">
        <f>SUMPRODUCT((Transaktionen!D$4:D$500="Ausgabe")*(Transaktionen!F$4:F$500=B5)*(MONTH(Transaktionen!C$4:C$500)=MONTH(TODAY()))*(YEAR(Transaktionen!C$4:C$500)=YEAR(TODAY()))*Transaktionen!E$4:E$500)</f>
      </c>
      <c r="E5" s="34">
        <f>C5-D5</f>
      </c>
      <c r="F5" s="77">
        <f>IF(C5=0,0,D5/C5)</f>
      </c>
      <c r="G5" s="78">
        <f>IF(C5=0,"—",IF(F5&gt;1,"OVER",IF(F5&gt;0.8,"WARN","OK")))</f>
      </c>
      <c r="H5" s="79">
        <f>IF(C5=0,"",REPT("█",MIN(ROUND(F5*20,0),20))&amp;REPT("░",MAX(20-ROUND(F5*20,0),0)))</f>
      </c>
      <c r="I5" s="23"/>
    </row>
    <row r="6" spans="1:9" x14ac:dyDescent="0.25">
      <c r="A6" s="23"/>
      <c r="B6" s="24" t="s">
        <v>59</v>
      </c>
      <c r="C6" s="29">
        <v>1000</v>
      </c>
      <c r="D6" s="26">
        <f>SUMPRODUCT((Transaktionen!D$4:D$500="Ausgabe")*(Transaktionen!F$4:F$500=B6)*(MONTH(Transaktionen!C$4:C$500)=MONTH(TODAY()))*(YEAR(Transaktionen!C$4:C$500)=YEAR(TODAY()))*Transaktionen!E$4:E$500)</f>
      </c>
      <c r="E6" s="27">
        <f>C6-D6</f>
      </c>
      <c r="F6" s="74">
        <f>IF(C6=0,0,D6/C6)</f>
      </c>
      <c r="G6" s="75">
        <f>IF(C6=0,"—",IF(F6&gt;1,"OVER",IF(F6&gt;0.8,"WARN","OK")))</f>
      </c>
      <c r="H6" s="76">
        <f>IF(C6=0,"",REPT("█",MIN(ROUND(F6*20,0),20))&amp;REPT("░",MAX(20-ROUND(F6*20,0),0)))</f>
      </c>
      <c r="I6" s="23"/>
    </row>
    <row r="7" spans="1:9" x14ac:dyDescent="0.25">
      <c r="A7" s="23"/>
      <c r="B7" s="31" t="s">
        <v>70</v>
      </c>
      <c r="C7" s="36">
        <v>100</v>
      </c>
      <c r="D7" s="33">
        <f>SUMPRODUCT((Transaktionen!D$4:D$500="Ausgabe")*(Transaktionen!F$4:F$500=B7)*(MONTH(Transaktionen!C$4:C$500)=MONTH(TODAY()))*(YEAR(Transaktionen!C$4:C$500)=YEAR(TODAY()))*Transaktionen!E$4:E$500)</f>
      </c>
      <c r="E7" s="34">
        <f>C7-D7</f>
      </c>
      <c r="F7" s="77">
        <f>IF(C7=0,0,D7/C7)</f>
      </c>
      <c r="G7" s="78">
        <f>IF(C7=0,"—",IF(F7&gt;1,"OVER",IF(F7&gt;0.8,"WARN","OK")))</f>
      </c>
      <c r="H7" s="79">
        <f>IF(C7=0,"",REPT("█",MIN(ROUND(F7*20,0),20))&amp;REPT("░",MAX(20-ROUND(F7*20,0),0)))</f>
      </c>
      <c r="I7" s="23"/>
    </row>
    <row r="8" spans="1:9" x14ac:dyDescent="0.25">
      <c r="A8" s="23"/>
      <c r="B8" s="24" t="s">
        <v>73</v>
      </c>
      <c r="C8" s="29">
        <v>50</v>
      </c>
      <c r="D8" s="26">
        <f>SUMPRODUCT((Transaktionen!D$4:D$500="Ausgabe")*(Transaktionen!F$4:F$500=B8)*(MONTH(Transaktionen!C$4:C$500)=MONTH(TODAY()))*(YEAR(Transaktionen!C$4:C$500)=YEAR(TODAY()))*Transaktionen!E$4:E$500)</f>
      </c>
      <c r="E8" s="27">
        <f>C8-D8</f>
      </c>
      <c r="F8" s="74">
        <f>IF(C8=0,0,D8/C8)</f>
      </c>
      <c r="G8" s="75">
        <f>IF(C8=0,"—",IF(F8&gt;1,"OVER",IF(F8&gt;0.8,"WARN","OK")))</f>
      </c>
      <c r="H8" s="76">
        <f>IF(C8=0,"",REPT("█",MIN(ROUND(F8*20,0),20))&amp;REPT("░",MAX(20-ROUND(F8*20,0),0)))</f>
      </c>
      <c r="I8" s="23"/>
    </row>
    <row r="9" spans="1:9" x14ac:dyDescent="0.25">
      <c r="A9" s="23"/>
      <c r="B9" s="31" t="s">
        <v>79</v>
      </c>
      <c r="C9" s="36">
        <v>50</v>
      </c>
      <c r="D9" s="33">
        <f>SUMPRODUCT((Transaktionen!D$4:D$500="Ausgabe")*(Transaktionen!F$4:F$500=B9)*(MONTH(Transaktionen!C$4:C$500)=MONTH(TODAY()))*(YEAR(Transaktionen!C$4:C$500)=YEAR(TODAY()))*Transaktionen!E$4:E$500)</f>
      </c>
      <c r="E9" s="34">
        <f>C9-D9</f>
      </c>
      <c r="F9" s="77">
        <f>IF(C9=0,0,D9/C9)</f>
      </c>
      <c r="G9" s="78">
        <f>IF(C9=0,"—",IF(F9&gt;1,"OVER",IF(F9&gt;0.8,"WARN","OK")))</f>
      </c>
      <c r="H9" s="79">
        <f>IF(C9=0,"",REPT("█",MIN(ROUND(F9*20,0),20))&amp;REPT("░",MAX(20-ROUND(F9*20,0),0)))</f>
      </c>
      <c r="I9" s="23"/>
    </row>
    <row r="10" spans="1:9" x14ac:dyDescent="0.25">
      <c r="A10" s="23"/>
      <c r="B10" s="24" t="s">
        <v>83</v>
      </c>
      <c r="C10" s="29">
        <v>80</v>
      </c>
      <c r="D10" s="26">
        <f>SUMPRODUCT((Transaktionen!D$4:D$500="Ausgabe")*(Transaktionen!F$4:F$500=B10)*(MONTH(Transaktionen!C$4:C$500)=MONTH(TODAY()))*(YEAR(Transaktionen!C$4:C$500)=YEAR(TODAY()))*Transaktionen!E$4:E$500)</f>
      </c>
      <c r="E10" s="27">
        <f>C10-D10</f>
      </c>
      <c r="F10" s="74">
        <f>IF(C10=0,0,D10/C10)</f>
      </c>
      <c r="G10" s="75">
        <f>IF(C10=0,"—",IF(F10&gt;1,"OVER",IF(F10&gt;0.8,"WARN","OK")))</f>
      </c>
      <c r="H10" s="76">
        <f>IF(C10=0,"",REPT("█",MIN(ROUND(F10*20,0),20))&amp;REPT("░",MAX(20-ROUND(F10*20,0),0)))</f>
      </c>
      <c r="I10" s="23"/>
    </row>
    <row r="11" spans="1:9" x14ac:dyDescent="0.25">
      <c r="A11" s="23"/>
      <c r="B11" s="31" t="s">
        <v>76</v>
      </c>
      <c r="C11" s="36">
        <v>100</v>
      </c>
      <c r="D11" s="33">
        <f>SUMPRODUCT((Transaktionen!D$4:D$500="Ausgabe")*(Transaktionen!F$4:F$500=B11)*(MONTH(Transaktionen!C$4:C$500)=MONTH(TODAY()))*(YEAR(Transaktionen!C$4:C$500)=YEAR(TODAY()))*Transaktionen!E$4:E$500)</f>
      </c>
      <c r="E11" s="34">
        <f>C11-D11</f>
      </c>
      <c r="F11" s="77">
        <f>IF(C11=0,0,D11/C11)</f>
      </c>
      <c r="G11" s="78">
        <f>IF(C11=0,"—",IF(F11&gt;1,"OVER",IF(F11&gt;0.8,"WARN","OK")))</f>
      </c>
      <c r="H11" s="79">
        <f>IF(C11=0,"",REPT("█",MIN(ROUND(F11*20,0),20))&amp;REPT("░",MAX(20-ROUND(F11*20,0),0)))</f>
      </c>
      <c r="I11" s="23"/>
    </row>
    <row r="12" ht="32" customHeight="1" spans="1:9" x14ac:dyDescent="0.25">
      <c r="A12" s="40"/>
      <c r="B12" s="40" t="s">
        <v>25</v>
      </c>
      <c r="C12" s="41">
        <f>SUM(C4:C11)</f>
      </c>
      <c r="D12" s="41">
        <f>SUM(D4:D11)</f>
      </c>
      <c r="E12" s="41">
        <f>C12-D12</f>
      </c>
      <c r="F12" s="42">
        <f>IF(C12=0,0,D12/C12)</f>
      </c>
      <c r="G12" s="40"/>
      <c r="H12" s="40"/>
      <c r="I12" s="40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</sheetData>
  <mergeCells count="2">
    <mergeCell ref="B1:H1"/>
    <mergeCell ref="B2:H2"/>
  </mergeCells>
  <conditionalFormatting sqref="G4:G14">
    <cfRule type="containsText" dxfId="6" priority="1">
      <formula>NOT(ISERROR(SEARCH("OVER",G4)))</formula>
    </cfRule>
    <cfRule type="containsText" dxfId="7" priority="2">
      <formula>NOT(ISERROR(SEARCH("WARN",G4)))</formula>
    </cfRule>
    <cfRule type="containsText" dxfId="8" priority="3">
      <formula>NOT(ISERROR(SEARCH("OK",G4)))</formula>
    </cfRule>
  </conditionalFormatting>
  <conditionalFormatting sqref="F4:F14">
    <cfRule type="colorScale" priority="4">
      <colorScale>
        <cfvo type="num" val="0"/>
        <cfvo type="num" val="0.5"/>
        <cfvo type="num" val="1"/>
        <color rgb="003D1A"/>
        <color rgb="3D2E00"/>
        <color rgb="3D0C0C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3B341"/>
  </sheetPr>
  <dimension ref="A1:H25"/>
  <sheetViews>
    <sheetView workbookViewId="0">
      <pane ySplit="3" topLeftCell="A4" activePane="bottomLeft" state="frozen"/>
      <selection pane="bottomLeft" activeCell="B4" sqref="B4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20" customWidth="1"/>
    <col min="5" max="6" width="18" customWidth="1"/>
    <col min="7" max="7" width="22" customWidth="1"/>
    <col min="8" max="8" width="3" customWidth="1"/>
  </cols>
  <sheetData>
    <row r="1" ht="45" customHeight="1" spans="1:8" x14ac:dyDescent="0.25">
      <c r="A1" s="1"/>
      <c r="B1" s="59" t="s">
        <v>108</v>
      </c>
      <c r="C1" s="59"/>
      <c r="D1" s="59"/>
      <c r="E1" s="59"/>
      <c r="F1" s="59"/>
      <c r="G1" s="59"/>
      <c r="H1" s="1"/>
    </row>
    <row r="2" ht="4" customHeight="1" spans="1:8" x14ac:dyDescent="0.25">
      <c r="A2" s="1"/>
      <c r="B2" s="4"/>
      <c r="C2" s="4"/>
      <c r="D2" s="4"/>
      <c r="E2" s="4"/>
      <c r="F2" s="4"/>
      <c r="G2" s="4"/>
      <c r="H2" s="1"/>
    </row>
    <row r="3" ht="36" customHeight="1" spans="1:8" x14ac:dyDescent="0.25">
      <c r="A3" s="22" t="s">
        <v>11</v>
      </c>
      <c r="B3" s="22" t="s">
        <v>109</v>
      </c>
      <c r="C3" s="22" t="s">
        <v>33</v>
      </c>
      <c r="D3" s="22" t="s">
        <v>34</v>
      </c>
      <c r="E3" s="22" t="s">
        <v>35</v>
      </c>
      <c r="F3" s="22" t="s">
        <v>36</v>
      </c>
      <c r="G3" s="22" t="s">
        <v>37</v>
      </c>
      <c r="H3" s="22" t="s">
        <v>11</v>
      </c>
    </row>
    <row r="4" spans="1:8" x14ac:dyDescent="0.25">
      <c r="A4" s="23"/>
      <c r="B4" s="24" t="s">
        <v>52</v>
      </c>
      <c r="C4" s="80" t="s">
        <v>110</v>
      </c>
      <c r="D4" s="29">
        <v>2500</v>
      </c>
      <c r="E4" s="25">
        <f>SUMPRODUCT((Transaktionen!D$4:D$500="Einnahme")*(Transaktionen!G$4:G$500=B4)*Transaktionen!E$4:E$500)</f>
      </c>
      <c r="F4" s="26">
        <f>SUMPRODUCT((Transaktionen!D$4:D$500="Ausgabe")*(Transaktionen!G$4:G$500=B4)*Transaktionen!E$4:E$500)</f>
      </c>
      <c r="G4" s="81">
        <f>D4+E4-F4</f>
      </c>
      <c r="H4" s="23"/>
    </row>
    <row r="5" spans="1:8" x14ac:dyDescent="0.25">
      <c r="A5" s="23"/>
      <c r="B5" s="31" t="s">
        <v>63</v>
      </c>
      <c r="C5" s="82" t="s">
        <v>63</v>
      </c>
      <c r="D5" s="36">
        <v>200</v>
      </c>
      <c r="E5" s="32">
        <f>SUMPRODUCT((Transaktionen!D$4:D$500="Einnahme")*(Transaktionen!G$4:G$500=B5)*Transaktionen!E$4:E$500)</f>
      </c>
      <c r="F5" s="33">
        <f>SUMPRODUCT((Transaktionen!D$4:D$500="Ausgabe")*(Transaktionen!G$4:G$500=B5)*Transaktionen!E$4:E$500)</f>
      </c>
      <c r="G5" s="83">
        <f>D5+E5-F5</f>
      </c>
      <c r="H5" s="23"/>
    </row>
    <row r="6" spans="1:8" x14ac:dyDescent="0.25">
      <c r="A6" s="23"/>
      <c r="B6" s="24" t="s">
        <v>67</v>
      </c>
      <c r="C6" s="80" t="s">
        <v>67</v>
      </c>
      <c r="D6" s="29">
        <v>0</v>
      </c>
      <c r="E6" s="25">
        <f>SUMPRODUCT((Transaktionen!D$4:D$500="Einnahme")*(Transaktionen!G$4:G$500=B6)*Transaktionen!E$4:E$500)</f>
      </c>
      <c r="F6" s="26">
        <f>SUMPRODUCT((Transaktionen!D$4:D$500="Ausgabe")*(Transaktionen!G$4:G$500=B6)*Transaktionen!E$4:E$500)</f>
      </c>
      <c r="G6" s="81">
        <f>D6+E6-F6</f>
      </c>
      <c r="H6" s="23"/>
    </row>
    <row r="7" spans="1:8" x14ac:dyDescent="0.25">
      <c r="A7" s="23"/>
      <c r="B7" s="31" t="s">
        <v>87</v>
      </c>
      <c r="C7" s="82" t="s">
        <v>87</v>
      </c>
      <c r="D7" s="36">
        <v>5000</v>
      </c>
      <c r="E7" s="32">
        <f>SUMPRODUCT((Transaktionen!D$4:D$500="Einnahme")*(Transaktionen!G$4:G$500=B7)*Transaktionen!E$4:E$500)</f>
      </c>
      <c r="F7" s="33">
        <f>SUMPRODUCT((Transaktionen!D$4:D$500="Ausgabe")*(Transaktionen!G$4:G$500=B7)*Transaktionen!E$4:E$500)</f>
      </c>
      <c r="G7" s="83">
        <f>D7+E7-F7</f>
      </c>
      <c r="H7" s="23"/>
    </row>
    <row r="8" spans="1:8" x14ac:dyDescent="0.25">
      <c r="A8" s="23"/>
      <c r="B8" s="62"/>
      <c r="C8" s="62"/>
      <c r="D8" s="29"/>
      <c r="E8" s="29">
        <f>IF(B8="","",SUMPRODUCT((Transaktionen!D$4:D$500="Einnahme")*(Transaktionen!G$4:G$500=B8)*Transaktionen!E$4:E$500))</f>
      </c>
      <c r="F8" s="29">
        <f>IF(B8="","",SUMPRODUCT((Transaktionen!D$4:D$500="Ausgabe")*(Transaktionen!G$4:G$500=B8)*Transaktionen!E$4:E$500))</f>
      </c>
      <c r="G8" s="29">
        <f>IF(B8="","",D8+E8-F8)</f>
      </c>
      <c r="H8" s="23"/>
    </row>
    <row r="9" spans="1:8" x14ac:dyDescent="0.25">
      <c r="A9" s="23"/>
      <c r="B9" s="65"/>
      <c r="C9" s="65"/>
      <c r="D9" s="36"/>
      <c r="E9" s="36">
        <f>IF(B9="","",SUMPRODUCT((Transaktionen!D$4:D$500="Einnahme")*(Transaktionen!G$4:G$500=B9)*Transaktionen!E$4:E$500))</f>
      </c>
      <c r="F9" s="36">
        <f>IF(B9="","",SUMPRODUCT((Transaktionen!D$4:D$500="Ausgabe")*(Transaktionen!G$4:G$500=B9)*Transaktionen!E$4:E$500))</f>
      </c>
      <c r="G9" s="36">
        <f>IF(B9="","",D9+E9-F9)</f>
      </c>
      <c r="H9" s="23"/>
    </row>
    <row r="10" spans="1:8" x14ac:dyDescent="0.25">
      <c r="A10" s="23"/>
      <c r="B10" s="62"/>
      <c r="C10" s="62"/>
      <c r="D10" s="29"/>
      <c r="E10" s="29">
        <f>IF(B10="","",SUMPRODUCT((Transaktionen!D$4:D$500="Einnahme")*(Transaktionen!G$4:G$500=B10)*Transaktionen!E$4:E$500))</f>
      </c>
      <c r="F10" s="29">
        <f>IF(B10="","",SUMPRODUCT((Transaktionen!D$4:D$500="Ausgabe")*(Transaktionen!G$4:G$500=B10)*Transaktionen!E$4:E$500))</f>
      </c>
      <c r="G10" s="29">
        <f>IF(B10="","",D10+E10-F10)</f>
      </c>
      <c r="H10" s="23"/>
    </row>
    <row r="11" spans="1:8" x14ac:dyDescent="0.25">
      <c r="A11" s="23"/>
      <c r="B11" s="65"/>
      <c r="C11" s="65"/>
      <c r="D11" s="36"/>
      <c r="E11" s="36">
        <f>IF(B11="","",SUMPRODUCT((Transaktionen!D$4:D$500="Einnahme")*(Transaktionen!G$4:G$500=B11)*Transaktionen!E$4:E$500))</f>
      </c>
      <c r="F11" s="36">
        <f>IF(B11="","",SUMPRODUCT((Transaktionen!D$4:D$500="Ausgabe")*(Transaktionen!G$4:G$500=B11)*Transaktionen!E$4:E$500))</f>
      </c>
      <c r="G11" s="36">
        <f>IF(B11="","",D11+E11-F11)</f>
      </c>
      <c r="H11" s="23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ht="32" customHeight="1" spans="1:8" x14ac:dyDescent="0.25">
      <c r="A15" s="40"/>
      <c r="B15" s="40" t="s">
        <v>25</v>
      </c>
      <c r="C15" s="40"/>
      <c r="D15" s="41">
        <f>SUM(D4:D11)</f>
      </c>
      <c r="E15" s="41">
        <f>SUM(E4:E11)</f>
      </c>
      <c r="F15" s="41">
        <f>SUM(F4:F11)</f>
      </c>
      <c r="G15" s="41">
        <f>SUM(G4:G11)</f>
      </c>
      <c r="H15" s="40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</sheetData>
  <mergeCells count="2">
    <mergeCell ref="B1:G1"/>
    <mergeCell ref="B2:G2"/>
  </mergeCells>
  <conditionalFormatting sqref="G4:G11">
    <cfRule type="cellIs" dxfId="9" priority="1" operator="lessThan">
      <formula>0</formula>
    </cfRule>
  </conditionalFormatting>
  <dataValidations count="2">
    <dataValidation type="list" allowBlank="1" sqref="C10:C11">
      <formula1>"Bank,Bargeld,Kreditkarte,Sparkonto"</formula1>
    </dataValidation>
    <dataValidation type="list" allowBlank="1" sqref="C4:C11">
      <formula1>"Bank,Bargeld,Kreditkarte,Sparkonto"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84F58"/>
  </sheetPr>
  <dimension ref="A1:B40"/>
  <sheetFormatPr defaultRowHeight="15" outlineLevelRow="0" outlineLevelCol="0" x14ac:dyDescent="55"/>
  <cols>
    <col min="1" max="1" width="3" customWidth="1"/>
    <col min="2" max="2" width="90" customWidth="1"/>
  </cols>
  <sheetData>
    <row r="1" ht="50" customHeight="1" spans="1:2" x14ac:dyDescent="0.25">
      <c r="A1" s="1"/>
      <c r="B1" s="84" t="s">
        <v>111</v>
      </c>
    </row>
    <row r="2" spans="1:2" x14ac:dyDescent="0.25">
      <c r="A2" s="1"/>
      <c r="B2" s="85" t="s">
        <v>112</v>
      </c>
    </row>
    <row r="3" spans="1:2" x14ac:dyDescent="0.25">
      <c r="A3" s="1"/>
      <c r="B3" s="86" t="s">
        <v>11</v>
      </c>
    </row>
    <row r="4" spans="1:2" x14ac:dyDescent="0.25">
      <c r="A4" s="1"/>
      <c r="B4" s="87" t="s">
        <v>113</v>
      </c>
    </row>
    <row r="5" spans="1:2" x14ac:dyDescent="0.25">
      <c r="A5" s="1"/>
      <c r="B5" s="86" t="s">
        <v>11</v>
      </c>
    </row>
    <row r="6" spans="1:2" x14ac:dyDescent="0.25">
      <c r="A6" s="1"/>
      <c r="B6" s="88" t="s">
        <v>114</v>
      </c>
    </row>
    <row r="7" spans="1:2" x14ac:dyDescent="0.25">
      <c r="A7" s="1"/>
      <c r="B7" s="86" t="s">
        <v>115</v>
      </c>
    </row>
    <row r="8" spans="1:2" x14ac:dyDescent="0.25">
      <c r="A8" s="1"/>
      <c r="B8" s="89" t="s">
        <v>116</v>
      </c>
    </row>
    <row r="9" spans="1:2" x14ac:dyDescent="0.25">
      <c r="A9" s="1"/>
      <c r="B9" s="86" t="s">
        <v>11</v>
      </c>
    </row>
    <row r="10" spans="1:2" x14ac:dyDescent="0.25">
      <c r="A10" s="1"/>
      <c r="B10" s="88" t="s">
        <v>117</v>
      </c>
    </row>
    <row r="11" spans="1:2" x14ac:dyDescent="0.25">
      <c r="A11" s="1"/>
      <c r="B11" s="86" t="s">
        <v>118</v>
      </c>
    </row>
    <row r="12" spans="1:2" x14ac:dyDescent="0.25">
      <c r="A12" s="1"/>
      <c r="B12" s="89" t="s">
        <v>119</v>
      </c>
    </row>
    <row r="13" spans="1:2" x14ac:dyDescent="0.25">
      <c r="A13" s="1"/>
      <c r="B13" s="86" t="s">
        <v>11</v>
      </c>
    </row>
    <row r="14" spans="1:2" x14ac:dyDescent="0.25">
      <c r="A14" s="1"/>
      <c r="B14" s="88" t="s">
        <v>120</v>
      </c>
    </row>
    <row r="15" spans="1:2" x14ac:dyDescent="0.25">
      <c r="A15" s="1"/>
      <c r="B15" s="86" t="s">
        <v>121</v>
      </c>
    </row>
    <row r="16" spans="1:2" x14ac:dyDescent="0.25">
      <c r="A16" s="1"/>
      <c r="B16" s="89" t="s">
        <v>122</v>
      </c>
    </row>
    <row r="17" spans="1:2" x14ac:dyDescent="0.25">
      <c r="A17" s="1"/>
      <c r="B17" s="86" t="s">
        <v>11</v>
      </c>
    </row>
    <row r="18" spans="1:2" x14ac:dyDescent="0.25">
      <c r="A18" s="1"/>
      <c r="B18" s="88" t="s">
        <v>123</v>
      </c>
    </row>
    <row r="19" spans="1:2" x14ac:dyDescent="0.25">
      <c r="A19" s="1"/>
      <c r="B19" s="86" t="s">
        <v>124</v>
      </c>
    </row>
    <row r="20" spans="1:2" x14ac:dyDescent="0.25">
      <c r="A20" s="1"/>
      <c r="B20" s="89" t="s">
        <v>125</v>
      </c>
    </row>
    <row r="21" spans="1:2" x14ac:dyDescent="0.25">
      <c r="A21" s="1"/>
      <c r="B21" s="86" t="s">
        <v>11</v>
      </c>
    </row>
    <row r="22" spans="1:2" x14ac:dyDescent="0.25">
      <c r="A22" s="1"/>
      <c r="B22" s="88" t="s">
        <v>126</v>
      </c>
    </row>
    <row r="23" spans="1:2" x14ac:dyDescent="0.25">
      <c r="A23" s="1"/>
      <c r="B23" s="86" t="s">
        <v>127</v>
      </c>
    </row>
    <row r="24" spans="1:2" x14ac:dyDescent="0.25">
      <c r="A24" s="1"/>
      <c r="B24" s="89" t="s">
        <v>128</v>
      </c>
    </row>
    <row r="25" spans="1:2" x14ac:dyDescent="0.25">
      <c r="A25" s="1"/>
      <c r="B25" s="86" t="s">
        <v>11</v>
      </c>
    </row>
    <row r="26" spans="1:2" x14ac:dyDescent="0.25">
      <c r="A26" s="1"/>
      <c r="B26" s="90" t="s">
        <v>129</v>
      </c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Transaktionen</vt:lpstr>
      <vt:lpstr>Kategorien</vt:lpstr>
      <vt:lpstr>Budgets</vt:lpstr>
      <vt:lpstr>Konten</vt:lpstr>
      <vt:lpstr>Anleitung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Tracker Pro</dc:creator>
  <dc:title/>
  <dc:subject/>
  <dc:description/>
  <cp:keywords/>
  <cp:category/>
  <cp:lastModifiedBy>Unknown</cp:lastModifiedBy>
  <dcterms:created xsi:type="dcterms:W3CDTF">2026-02-16T09:34:41Z</dcterms:created>
  <dcterms:modified xsi:type="dcterms:W3CDTF">2026-02-16T09:34:41Z</dcterms:modified>
</cp:coreProperties>
</file>